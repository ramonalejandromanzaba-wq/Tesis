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n Manzaba\Downloads\Ingenieria_Tecnologias_Informacion\planificacion\"/>
    </mc:Choice>
  </mc:AlternateContent>
  <xr:revisionPtr revIDLastSave="0" documentId="8_{9F7CEBC4-DB7A-44C4-A188-4DF0015C6766}" xr6:coauthVersionLast="47" xr6:coauthVersionMax="47" xr10:uidLastSave="{00000000-0000-0000-0000-000000000000}"/>
  <bookViews>
    <workbookView xWindow="-108" yWindow="-108" windowWidth="23256" windowHeight="12576" activeTab="1" xr2:uid="{877FC641-A7A0-4157-9726-3CF7E38B1815}"/>
  </bookViews>
  <sheets>
    <sheet name="Tareas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44" i="2" l="1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E44" i="2"/>
  <c r="D44" i="2"/>
  <c r="C44" i="2"/>
  <c r="B44" i="2"/>
  <c r="A44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E43" i="2"/>
  <c r="D43" i="2"/>
  <c r="C43" i="2"/>
  <c r="B43" i="2"/>
  <c r="A43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E42" i="2"/>
  <c r="D42" i="2"/>
  <c r="C42" i="2"/>
  <c r="B42" i="2"/>
  <c r="A42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E41" i="2"/>
  <c r="D41" i="2"/>
  <c r="C41" i="2"/>
  <c r="B41" i="2"/>
  <c r="A41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E40" i="2"/>
  <c r="D40" i="2"/>
  <c r="C40" i="2"/>
  <c r="B40" i="2"/>
  <c r="A40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E39" i="2"/>
  <c r="D39" i="2"/>
  <c r="C39" i="2"/>
  <c r="B39" i="2"/>
  <c r="A39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E38" i="2"/>
  <c r="D38" i="2"/>
  <c r="C38" i="2"/>
  <c r="B38" i="2"/>
  <c r="A38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E37" i="2"/>
  <c r="D37" i="2"/>
  <c r="C37" i="2"/>
  <c r="B37" i="2"/>
  <c r="A37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E36" i="2"/>
  <c r="D36" i="2"/>
  <c r="C36" i="2"/>
  <c r="B36" i="2"/>
  <c r="A36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E35" i="2"/>
  <c r="D35" i="2"/>
  <c r="C35" i="2"/>
  <c r="B35" i="2"/>
  <c r="A35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E34" i="2"/>
  <c r="D34" i="2"/>
  <c r="C34" i="2"/>
  <c r="B34" i="2"/>
  <c r="A34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E33" i="2"/>
  <c r="D33" i="2"/>
  <c r="C33" i="2"/>
  <c r="B33" i="2"/>
  <c r="A33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E32" i="2"/>
  <c r="D32" i="2"/>
  <c r="C32" i="2"/>
  <c r="B32" i="2"/>
  <c r="A32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E31" i="2"/>
  <c r="D31" i="2"/>
  <c r="C31" i="2"/>
  <c r="B31" i="2"/>
  <c r="A31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E30" i="2"/>
  <c r="D30" i="2"/>
  <c r="C30" i="2"/>
  <c r="B30" i="2"/>
  <c r="A30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E29" i="2"/>
  <c r="D29" i="2"/>
  <c r="C29" i="2"/>
  <c r="B29" i="2"/>
  <c r="A29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E28" i="2"/>
  <c r="D28" i="2"/>
  <c r="C28" i="2"/>
  <c r="B28" i="2"/>
  <c r="A28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E27" i="2"/>
  <c r="D27" i="2"/>
  <c r="C27" i="2"/>
  <c r="B27" i="2"/>
  <c r="A27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E26" i="2"/>
  <c r="D26" i="2"/>
  <c r="C26" i="2"/>
  <c r="B26" i="2"/>
  <c r="A26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E25" i="2"/>
  <c r="D25" i="2"/>
  <c r="C25" i="2"/>
  <c r="B25" i="2"/>
  <c r="A25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E24" i="2"/>
  <c r="D24" i="2"/>
  <c r="C24" i="2"/>
  <c r="B24" i="2"/>
  <c r="A24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E23" i="2"/>
  <c r="D23" i="2"/>
  <c r="C23" i="2"/>
  <c r="B23" i="2"/>
  <c r="A23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E22" i="2"/>
  <c r="D22" i="2"/>
  <c r="C22" i="2"/>
  <c r="B22" i="2"/>
  <c r="A22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E21" i="2"/>
  <c r="D21" i="2"/>
  <c r="C21" i="2"/>
  <c r="B21" i="2"/>
  <c r="A21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E20" i="2"/>
  <c r="D20" i="2"/>
  <c r="C20" i="2"/>
  <c r="B20" i="2"/>
  <c r="A20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E19" i="2"/>
  <c r="D19" i="2"/>
  <c r="C19" i="2"/>
  <c r="B19" i="2"/>
  <c r="A19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E18" i="2"/>
  <c r="D18" i="2"/>
  <c r="C18" i="2"/>
  <c r="B18" i="2"/>
  <c r="A18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E17" i="2"/>
  <c r="D17" i="2"/>
  <c r="C17" i="2"/>
  <c r="B17" i="2"/>
  <c r="A17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E16" i="2"/>
  <c r="D16" i="2"/>
  <c r="C16" i="2"/>
  <c r="B16" i="2"/>
  <c r="A16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E15" i="2"/>
  <c r="D15" i="2"/>
  <c r="C15" i="2"/>
  <c r="B15" i="2"/>
  <c r="A15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E14" i="2"/>
  <c r="D14" i="2"/>
  <c r="C14" i="2"/>
  <c r="B14" i="2"/>
  <c r="A14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E13" i="2"/>
  <c r="D13" i="2"/>
  <c r="C13" i="2"/>
  <c r="B13" i="2"/>
  <c r="A13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E12" i="2"/>
  <c r="D12" i="2"/>
  <c r="C12" i="2"/>
  <c r="B12" i="2"/>
  <c r="A12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E11" i="2"/>
  <c r="D11" i="2"/>
  <c r="C11" i="2"/>
  <c r="B11" i="2"/>
  <c r="A11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E10" i="2"/>
  <c r="D10" i="2"/>
  <c r="C10" i="2"/>
  <c r="B10" i="2"/>
  <c r="A10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E9" i="2"/>
  <c r="D9" i="2"/>
  <c r="C9" i="2"/>
  <c r="B9" i="2"/>
  <c r="A9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E8" i="2"/>
  <c r="D8" i="2"/>
  <c r="C8" i="2"/>
  <c r="B8" i="2"/>
  <c r="A8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E7" i="2"/>
  <c r="D7" i="2"/>
  <c r="C7" i="2"/>
  <c r="B7" i="2"/>
  <c r="A7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E6" i="2"/>
  <c r="D6" i="2"/>
  <c r="C6" i="2"/>
  <c r="B6" i="2"/>
  <c r="A6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E5" i="2"/>
  <c r="D5" i="2"/>
  <c r="C5" i="2"/>
  <c r="B5" i="2"/>
  <c r="A5" i="2"/>
  <c r="Y4" i="2"/>
  <c r="Y3" i="2"/>
  <c r="X4" i="2"/>
  <c r="X3" i="2"/>
  <c r="W4" i="2"/>
  <c r="W3" i="2"/>
  <c r="V4" i="2"/>
  <c r="V3" i="2"/>
  <c r="U4" i="2"/>
  <c r="U3" i="2"/>
  <c r="T4" i="2"/>
  <c r="T3" i="2"/>
  <c r="S4" i="2"/>
  <c r="S3" i="2" s="1"/>
  <c r="R4" i="2"/>
  <c r="R3" i="2"/>
  <c r="Q4" i="2"/>
  <c r="Q3" i="2"/>
  <c r="P4" i="2"/>
  <c r="P3" i="2"/>
  <c r="O4" i="2"/>
  <c r="O3" i="2"/>
  <c r="N4" i="2"/>
  <c r="N3" i="2"/>
  <c r="M4" i="2"/>
  <c r="M3" i="2"/>
  <c r="L4" i="2"/>
  <c r="L3" i="2"/>
  <c r="K4" i="2"/>
  <c r="K3" i="2"/>
  <c r="J4" i="2"/>
  <c r="J3" i="2"/>
  <c r="I4" i="2"/>
  <c r="I3" i="2"/>
  <c r="H4" i="2"/>
  <c r="H3" i="2"/>
  <c r="G4" i="2"/>
  <c r="G3" i="2"/>
  <c r="F4" i="2"/>
  <c r="F3" i="2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<sst xmlns="http://schemas.openxmlformats.org/spreadsheetml/2006/main" count="258" uniqueCount="133">
  <si>
    <t>ID</t>
  </si>
  <si>
    <t>ID principal</t>
  </si>
  <si>
    <t>Tipo</t>
  </si>
  <si>
    <t>Resumen</t>
  </si>
  <si>
    <t>Inicio</t>
  </si>
  <si>
    <t>Fin</t>
  </si>
  <si>
    <t>Duración (días)</t>
  </si>
  <si>
    <t>Prioridad</t>
  </si>
  <si>
    <t>Estado</t>
  </si>
  <si>
    <t>Etiquetas</t>
  </si>
  <si>
    <t>Descripción</t>
  </si>
  <si>
    <t>Épica</t>
  </si>
  <si>
    <t>E1 Análisis de universidades y diseño metodológico (OE2)</t>
  </si>
  <si>
    <t>Alta</t>
  </si>
  <si>
    <t>En curso</t>
  </si>
  <si>
    <t>OE2 Cap1 Cap2</t>
  </si>
  <si>
    <t>Situación de las universidades, referentes nacionales e internacionales y diseño de la metodología (fases P y 0 a 4). Cap. 1 y Cap. 2.</t>
  </si>
  <si>
    <t>Tarea</t>
  </si>
  <si>
    <t>Revisión de la normativa ecuatoriana (LOPDP; RLOPDP; resoluciones SPDP; LOFC 2026)</t>
  </si>
  <si>
    <t>Listo</t>
  </si>
  <si>
    <t>OE2 normativa</t>
  </si>
  <si>
    <t>Verificar artículos en el texto oficial y registrar en FUENTES.md.</t>
  </si>
  <si>
    <t>Estado del arte y brecha (5 ejes; 22 trabajos)</t>
  </si>
  <si>
    <t>Media</t>
  </si>
  <si>
    <t>OE2 Cap1</t>
  </si>
  <si>
    <t>Tablas de trabajos relacionados y comparativa de marcos (Cap. 1).</t>
  </si>
  <si>
    <t>Cifras del sector educativo con fecha de corte</t>
  </si>
  <si>
    <t>OE2 Cap1 tutora</t>
  </si>
  <si>
    <t>MINEDUC; CNII; CES; SPDP. Tabla de cifras y cierre con la brecha (Cap. 1).</t>
  </si>
  <si>
    <t>Fundamentación: términos legales; cómo funciona una ley; cronología; comparativa de 6 países; régimen de vulneraciones</t>
  </si>
  <si>
    <t>Indicaciones C13-C16; A1; A5 (Cap. 1).</t>
  </si>
  <si>
    <t>Atender observaciones del tribunal y de la tutora (revisión del 27/10/2026)</t>
  </si>
  <si>
    <t>Más alta</t>
  </si>
  <si>
    <t>revision-tribunal</t>
  </si>
  <si>
    <t>CAMBIOS.md con A1-A8; B1-B7; C1-C16. Rama revision-tribunal.</t>
  </si>
  <si>
    <t>Diseño de fases P y 0-4 y equivalencia con ISO/IEC 27035 y NIST SP 800-61r3</t>
  </si>
  <si>
    <t>OE2 Cap2</t>
  </si>
  <si>
    <t>Figura y tablas de fases (Cap. 2).</t>
  </si>
  <si>
    <t>Escalas; tabla de decisión; reglas RA-1 a RA-5; fuentes de estimación</t>
  </si>
  <si>
    <t>Justificación de estimaciones B3 (Cap. 2).</t>
  </si>
  <si>
    <t>Verificar la plantilla de matriz (1 057 fórmulas; casos T-01 a T-06)</t>
  </si>
  <si>
    <t>OE2 matriz</t>
  </si>
  <si>
    <t>Regenerar con scripts/build_matriz.js y registrar resultados (Cap. 3).</t>
  </si>
  <si>
    <t>E2 Autorización y diagnóstico institucional (OE1)</t>
  </si>
  <si>
    <t>Por hacer</t>
  </si>
  <si>
    <t>OE1 UTI</t>
  </si>
  <si>
    <t>Requisitos D01-D10 (REQUISITOS_DIAGNOSTICO.md) y diagnóstico del proceso de admisión y matrícula UTI Quito.</t>
  </si>
  <si>
    <t>D01 Redactar y entregar la solicitud de autorización formal a la UTI</t>
  </si>
  <si>
    <t>OE1 D01</t>
  </si>
  <si>
    <t>Con la tutora; incluir condiciones (a)-(e) del Anexo de autorización.</t>
  </si>
  <si>
    <t>Hito: oficio de autorización recibido</t>
  </si>
  <si>
    <t>OE1 D01 hito</t>
  </si>
  <si>
    <t>Bloquea D03-D10. Escanear e incorporar al Anexo de autorización.</t>
  </si>
  <si>
    <t>Identificar enlace institucional e informantes por subproceso (códigos E01...)</t>
  </si>
  <si>
    <t>OE1</t>
  </si>
  <si>
    <t>Admisiones; Secretaría Académica; Bienestar; Financiero; TI; Jurídico.</t>
  </si>
  <si>
    <t>D04-D05 Solicitar datos agregados y documentos vigentes</t>
  </si>
  <si>
    <t>OE1 D04 D05</t>
  </si>
  <si>
    <t>Aspirantes por periodo y % de menores; matriculados; becas; políticas; formularios; contratos con encargados; tabla de conservación.</t>
  </si>
  <si>
    <t>D03 Entrevistas semiestructuradas SP1-SP6 (Anexo B)</t>
  </si>
  <si>
    <t>OE1 D03</t>
  </si>
  <si>
    <t>5-6 entrevistas de 45-60 min con consentimiento (Anexo G).</t>
  </si>
  <si>
    <t>D07 Aplicar el cuestionario de madurez (Anexo C)</t>
  </si>
  <si>
    <t>OE1 D07</t>
  </si>
  <si>
    <t>Calcular medianas por dominio y global.</t>
  </si>
  <si>
    <t>D06 D08 D09 Auditoría de práctica efectiva; historial de incidentes; DPD</t>
  </si>
  <si>
    <t>OE1 D06 D08 D09</t>
  </si>
  <si>
    <t>Lista de verificación (Anexo A) con evidencia.</t>
  </si>
  <si>
    <t>Informe de diagnóstico; RAT y dictamen de gran escala</t>
  </si>
  <si>
    <t>OE1 Cap3</t>
  </si>
  <si>
    <t>Completar Tablas de madurez; verificación normativa y RAT (Cap. 3).</t>
  </si>
  <si>
    <t>E3 Implementación de la metodología en la UTI (OE3)</t>
  </si>
  <si>
    <t>OE3</t>
  </si>
  <si>
    <t>Escenarios; Delphi; matriz inherente y residual; plan de tratamiento y trazabilidad.</t>
  </si>
  <si>
    <t>D10 Convocar al panel (7-8 candidatos) y aplicar la autoevaluación de competencia K</t>
  </si>
  <si>
    <t>OE3 OE4 D10</t>
  </si>
  <si>
    <t>Anexo de competencia; consentimiento (Anexo G).</t>
  </si>
  <si>
    <t>Calibración del panel con el puntaje de Brier (Anexo E)</t>
  </si>
  <si>
    <t>OE3 Delphi</t>
  </si>
  <si>
    <t>Registrar en la hoja Brier; pesos por experto.</t>
  </si>
  <si>
    <t>Fase 1: confirmar; reformular o descartar escenarios R-01 a R-13</t>
  </si>
  <si>
    <t>Según el diagnóstico; añadir escenarios no previstos.</t>
  </si>
  <si>
    <t>Delphi ronda 1 (Anexo D)</t>
  </si>
  <si>
    <t>Probabilidad anual e impacto con rationale.</t>
  </si>
  <si>
    <t>Delphi ronda 2</t>
  </si>
  <si>
    <t>Retroalimentación de mediana; RIC y argumentos. Receso 21/12/2026-01/01/2027.</t>
  </si>
  <si>
    <t>Delphi ronda 3 (solo escenarios sin consenso)</t>
  </si>
  <si>
    <t>Consenso: RIC &lt;= 1 y &gt;= 70 % a ±1 nivel; W de Kendall.</t>
  </si>
  <si>
    <t>Matriz de riesgo inherente y evaluación de impacto (Fase 2)</t>
  </si>
  <si>
    <t>OE3 Cap3</t>
  </si>
  <si>
    <t>Completar Tablas de riesgo inherente y de EIPD (Cap. 3).</t>
  </si>
  <si>
    <t>Plan de tratamiento; riesgo residual y confirmación de la trazabilidad (Fase 3)</t>
  </si>
  <si>
    <t>Opción; residual; reglas RA; roles y plazos confirmados por la UTI.</t>
  </si>
  <si>
    <t>E4 Evaluación de la metodología (OE4)</t>
  </si>
  <si>
    <t>OE4</t>
  </si>
  <si>
    <t>Escenarios de validación V1 y V2; juicio de expertos; indicadores IV01-IV12; recomendaciones.</t>
  </si>
  <si>
    <t>Preparar el simulacro de vulneración V2 (Anexo del simulacro)</t>
  </si>
  <si>
    <t>OE4 V2</t>
  </si>
  <si>
    <t>Inyecciones T0-T5; participantes; lista de art. 26 RLOPDP.</t>
  </si>
  <si>
    <t>Ejecutar el simulacro V2 y registrar tiempos</t>
  </si>
  <si>
    <t>IV10 (&lt;= 72 h internas; término de 5 días) e IV11 (8/8 elementos).</t>
  </si>
  <si>
    <t>Juicio de expertos sobre la metodología (Anexo F)</t>
  </si>
  <si>
    <t>Calificaciones V01-V12 y observaciones.</t>
  </si>
  <si>
    <t>Calcular indicadores IV04-IV12; V de Aiken y W de Kendall</t>
  </si>
  <si>
    <t>OE4 Cap3</t>
  </si>
  <si>
    <t>Completar Tablas de indicadores; panel; Delphi y juicio de expertos (Cap. 3).</t>
  </si>
  <si>
    <t>Formular recomendaciones de mejora continua</t>
  </si>
  <si>
    <t>OE4 Cap4</t>
  </si>
  <si>
    <t>Derivadas de resultados (Cap. 4).</t>
  </si>
  <si>
    <t>E5 Documentación final y sustentación</t>
  </si>
  <si>
    <t>documentacion</t>
  </si>
  <si>
    <t>Cierre del documento; aprobaciones y defensa.</t>
  </si>
  <si>
    <t>Actualizar Cap. 3 y Cap. 4 con los resultados reales</t>
  </si>
  <si>
    <t>Cap3 Cap4</t>
  </si>
  <si>
    <t>Una conclusión por OE con resultados verificables.</t>
  </si>
  <si>
    <t>Resumen; abstract y revisión formal final (IEEE; guiones; referencias)</t>
  </si>
  <si>
    <t>formal</t>
  </si>
  <si>
    <t>Compilar sin errores ni referencias indefinidas.</t>
  </si>
  <si>
    <t>Revisión y aprobación de la tutora</t>
  </si>
  <si>
    <t>tutora</t>
  </si>
  <si>
    <t>Firma de la aprobación de la tutora (Preliminares).</t>
  </si>
  <si>
    <t>Revisión y aprobación de los lectores</t>
  </si>
  <si>
    <t>lectores</t>
  </si>
  <si>
    <t>Andrés Rubio Proaño PhD. y Jaime Fabrizzio Peñafiel MSc.</t>
  </si>
  <si>
    <t>Preparar la sustentación (presentación y ensayo)</t>
  </si>
  <si>
    <t>sustentacion</t>
  </si>
  <si>
    <t>Diapositivas; demostración de la plantilla; preguntas previstas.</t>
  </si>
  <si>
    <t>Hito: entrega final del trabajo de integración curricular</t>
  </si>
  <si>
    <t>hito entrega</t>
  </si>
  <si>
    <t>PDF final; anexos; matriz .xlsx.</t>
  </si>
  <si>
    <t>Planificación del proyecto ITI-TFG-B26-0021 — 13 de octubre de 2026 a 26 de febrero de 2027</t>
  </si>
  <si>
    <t>Leyenda: azul oscuro = épica · azul = tarea · verde = tarea lista · naranja = hito · «Hoy» en rojo = semana actual. Las barras se calculan con las fechas de la hoja Tareas.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</si>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</sst>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\-mmm"/>
    <numFmt numFmtId="166" formatCode=";;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C"/>
        <bgColor indexed="64"/>
      </patternFill>
    </fill>
    <fill>
      <patternFill patternType="solid">
        <fgColor rgb="FFDAE6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164" fontId="1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165" fontId="1" fillId="3" borderId="2" xfId="0" applyNumberFormat="1" applyFont="1" applyFill="1" applyBorder="1" applyAlignment="1">
      <alignment horizontal="center" textRotation="90"/>
    </xf>
    <xf numFmtId="0" fontId="0" fillId="0" borderId="2" xfId="0" applyBorder="1"/>
    <xf numFmtId="164" fontId="0" fillId="0" borderId="2" xfId="0" applyNumberFormat="1" applyBorder="1"/>
    <xf numFmtId="166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5">
    <dxf>
      <font>
        <b/>
        <i val="0"/>
        <color rgb="FFFFFFFF"/>
      </font>
      <fill>
        <patternFill>
          <bgColor rgb="FFFF0000"/>
        </patternFill>
      </fill>
    </dxf>
    <dxf>
      <fill>
        <patternFill>
          <bgColor rgb="FFF48C2E"/>
        </patternFill>
      </fill>
    </dxf>
    <dxf>
      <fill>
        <patternFill>
          <bgColor rgb="FF1F3A5C"/>
        </patternFill>
      </fill>
    </dxf>
    <dxf>
      <fill>
        <patternFill>
          <bgColor rgb="FF00B050"/>
        </patternFill>
      </fill>
    </dxf>
    <dxf>
      <fill>
        <patternFill>
          <bgColor rgb="FF5B9B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799C-04D8-46C4-8EDF-8FE05F4CCA0F}">
  <dimension ref="A1:K41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" bestFit="1" customWidth="1"/>
    <col min="2" max="2" width="10.6640625" bestFit="1" customWidth="1"/>
    <col min="3" max="3" width="5.5546875" bestFit="1" customWidth="1"/>
    <col min="4" max="4" width="60.77734375" style="1" customWidth="1"/>
    <col min="5" max="6" width="10.33203125" bestFit="1" customWidth="1"/>
    <col min="7" max="7" width="13.6640625" bestFit="1" customWidth="1"/>
    <col min="8" max="9" width="8.77734375" bestFit="1" customWidth="1"/>
    <col min="10" max="10" width="15" bestFit="1" customWidth="1"/>
    <col min="11" max="11" width="70.77734375" style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8.8" x14ac:dyDescent="0.3">
      <c r="A2" s="7">
        <v>1</v>
      </c>
      <c r="B2" s="7"/>
      <c r="C2" s="7" t="s">
        <v>11</v>
      </c>
      <c r="D2" s="8" t="s">
        <v>12</v>
      </c>
      <c r="E2" s="9">
        <f>DATE(2026,10,13)</f>
        <v>46308</v>
      </c>
      <c r="F2" s="9">
        <f>DATE(2026,11,16)</f>
        <v>46342</v>
      </c>
      <c r="G2" s="7">
        <f>F2-E2+1</f>
        <v>35</v>
      </c>
      <c r="H2" s="7" t="s">
        <v>13</v>
      </c>
      <c r="I2" s="7" t="s">
        <v>14</v>
      </c>
      <c r="J2" s="7" t="s">
        <v>15</v>
      </c>
      <c r="K2" s="8" t="s">
        <v>16</v>
      </c>
    </row>
    <row r="3" spans="1:11" ht="28.8" x14ac:dyDescent="0.3">
      <c r="A3" s="4">
        <v>2</v>
      </c>
      <c r="B3" s="4">
        <v>1</v>
      </c>
      <c r="C3" s="4" t="s">
        <v>17</v>
      </c>
      <c r="D3" s="5" t="s">
        <v>18</v>
      </c>
      <c r="E3" s="6">
        <f>DATE(2026,10,13)</f>
        <v>46308</v>
      </c>
      <c r="F3" s="6">
        <f>DATE(2026,10,23)</f>
        <v>46318</v>
      </c>
      <c r="G3" s="4">
        <f>F3-E3+1</f>
        <v>11</v>
      </c>
      <c r="H3" s="4" t="s">
        <v>13</v>
      </c>
      <c r="I3" s="4" t="s">
        <v>19</v>
      </c>
      <c r="J3" s="4" t="s">
        <v>20</v>
      </c>
      <c r="K3" s="5" t="s">
        <v>21</v>
      </c>
    </row>
    <row r="4" spans="1:11" x14ac:dyDescent="0.3">
      <c r="A4" s="4">
        <v>3</v>
      </c>
      <c r="B4" s="4">
        <v>1</v>
      </c>
      <c r="C4" s="4" t="s">
        <v>17</v>
      </c>
      <c r="D4" s="5" t="s">
        <v>22</v>
      </c>
      <c r="E4" s="6">
        <f>DATE(2026,10,13)</f>
        <v>46308</v>
      </c>
      <c r="F4" s="6">
        <f>DATE(2026,10,30)</f>
        <v>46325</v>
      </c>
      <c r="G4" s="4">
        <f>F4-E4+1</f>
        <v>18</v>
      </c>
      <c r="H4" s="4" t="s">
        <v>23</v>
      </c>
      <c r="I4" s="4" t="s">
        <v>19</v>
      </c>
      <c r="J4" s="4" t="s">
        <v>24</v>
      </c>
      <c r="K4" s="5" t="s">
        <v>25</v>
      </c>
    </row>
    <row r="5" spans="1:11" x14ac:dyDescent="0.3">
      <c r="A5" s="4">
        <v>4</v>
      </c>
      <c r="B5" s="4">
        <v>1</v>
      </c>
      <c r="C5" s="4" t="s">
        <v>17</v>
      </c>
      <c r="D5" s="5" t="s">
        <v>26</v>
      </c>
      <c r="E5" s="6">
        <f>DATE(2026,10,20)</f>
        <v>46315</v>
      </c>
      <c r="F5" s="6">
        <f>DATE(2026,10,30)</f>
        <v>46325</v>
      </c>
      <c r="G5" s="4">
        <f>F5-E5+1</f>
        <v>11</v>
      </c>
      <c r="H5" s="4" t="s">
        <v>13</v>
      </c>
      <c r="I5" s="4" t="s">
        <v>19</v>
      </c>
      <c r="J5" s="4" t="s">
        <v>27</v>
      </c>
      <c r="K5" s="5" t="s">
        <v>28</v>
      </c>
    </row>
    <row r="6" spans="1:11" ht="28.8" x14ac:dyDescent="0.3">
      <c r="A6" s="4">
        <v>5</v>
      </c>
      <c r="B6" s="4">
        <v>1</v>
      </c>
      <c r="C6" s="4" t="s">
        <v>17</v>
      </c>
      <c r="D6" s="5" t="s">
        <v>29</v>
      </c>
      <c r="E6" s="6">
        <f>DATE(2026,10,20)</f>
        <v>46315</v>
      </c>
      <c r="F6" s="6">
        <f>DATE(2026,10,30)</f>
        <v>46325</v>
      </c>
      <c r="G6" s="4">
        <f>F6-E6+1</f>
        <v>11</v>
      </c>
      <c r="H6" s="4" t="s">
        <v>13</v>
      </c>
      <c r="I6" s="4" t="s">
        <v>19</v>
      </c>
      <c r="J6" s="4" t="s">
        <v>27</v>
      </c>
      <c r="K6" s="5" t="s">
        <v>30</v>
      </c>
    </row>
    <row r="7" spans="1:11" x14ac:dyDescent="0.3">
      <c r="A7" s="4">
        <v>6</v>
      </c>
      <c r="B7" s="4">
        <v>1</v>
      </c>
      <c r="C7" s="4" t="s">
        <v>17</v>
      </c>
      <c r="D7" s="5" t="s">
        <v>31</v>
      </c>
      <c r="E7" s="6">
        <f>DATE(2026,10,27)</f>
        <v>46322</v>
      </c>
      <c r="F7" s="6">
        <f>DATE(2026,10,30)</f>
        <v>46325</v>
      </c>
      <c r="G7" s="4">
        <f>F7-E7+1</f>
        <v>4</v>
      </c>
      <c r="H7" s="4" t="s">
        <v>32</v>
      </c>
      <c r="I7" s="4" t="s">
        <v>14</v>
      </c>
      <c r="J7" s="4" t="s">
        <v>33</v>
      </c>
      <c r="K7" s="5" t="s">
        <v>34</v>
      </c>
    </row>
    <row r="8" spans="1:11" ht="28.8" x14ac:dyDescent="0.3">
      <c r="A8" s="4">
        <v>7</v>
      </c>
      <c r="B8" s="4">
        <v>1</v>
      </c>
      <c r="C8" s="4" t="s">
        <v>17</v>
      </c>
      <c r="D8" s="5" t="s">
        <v>35</v>
      </c>
      <c r="E8" s="6">
        <f>DATE(2026,10,26)</f>
        <v>46321</v>
      </c>
      <c r="F8" s="6">
        <f>DATE(2026,11,6)</f>
        <v>46332</v>
      </c>
      <c r="G8" s="4">
        <f>F8-E8+1</f>
        <v>12</v>
      </c>
      <c r="H8" s="4" t="s">
        <v>13</v>
      </c>
      <c r="I8" s="4" t="s">
        <v>19</v>
      </c>
      <c r="J8" s="4" t="s">
        <v>36</v>
      </c>
      <c r="K8" s="5" t="s">
        <v>37</v>
      </c>
    </row>
    <row r="9" spans="1:11" x14ac:dyDescent="0.3">
      <c r="A9" s="4">
        <v>8</v>
      </c>
      <c r="B9" s="4">
        <v>1</v>
      </c>
      <c r="C9" s="4" t="s">
        <v>17</v>
      </c>
      <c r="D9" s="5" t="s">
        <v>38</v>
      </c>
      <c r="E9" s="6">
        <f>DATE(2026,11,2)</f>
        <v>46328</v>
      </c>
      <c r="F9" s="6">
        <f>DATE(2026,11,13)</f>
        <v>46339</v>
      </c>
      <c r="G9" s="4">
        <f>F9-E9+1</f>
        <v>12</v>
      </c>
      <c r="H9" s="4" t="s">
        <v>13</v>
      </c>
      <c r="I9" s="4" t="s">
        <v>19</v>
      </c>
      <c r="J9" s="4" t="s">
        <v>36</v>
      </c>
      <c r="K9" s="5" t="s">
        <v>39</v>
      </c>
    </row>
    <row r="10" spans="1:11" x14ac:dyDescent="0.3">
      <c r="A10" s="4">
        <v>9</v>
      </c>
      <c r="B10" s="4">
        <v>1</v>
      </c>
      <c r="C10" s="4" t="s">
        <v>17</v>
      </c>
      <c r="D10" s="5" t="s">
        <v>40</v>
      </c>
      <c r="E10" s="6">
        <f>DATE(2026,11,9)</f>
        <v>46335</v>
      </c>
      <c r="F10" s="6">
        <f>DATE(2026,11,16)</f>
        <v>46342</v>
      </c>
      <c r="G10" s="4">
        <f>F10-E10+1</f>
        <v>8</v>
      </c>
      <c r="H10" s="4" t="s">
        <v>23</v>
      </c>
      <c r="I10" s="4" t="s">
        <v>19</v>
      </c>
      <c r="J10" s="4" t="s">
        <v>41</v>
      </c>
      <c r="K10" s="5" t="s">
        <v>42</v>
      </c>
    </row>
    <row r="11" spans="1:11" ht="28.8" x14ac:dyDescent="0.3">
      <c r="A11" s="7">
        <v>10</v>
      </c>
      <c r="B11" s="7"/>
      <c r="C11" s="7" t="s">
        <v>11</v>
      </c>
      <c r="D11" s="8" t="s">
        <v>43</v>
      </c>
      <c r="E11" s="9">
        <f>DATE(2026,10,27)</f>
        <v>46322</v>
      </c>
      <c r="F11" s="9">
        <f>DATE(2026,12,14)</f>
        <v>46370</v>
      </c>
      <c r="G11" s="7">
        <f>F11-E11+1</f>
        <v>49</v>
      </c>
      <c r="H11" s="7" t="s">
        <v>32</v>
      </c>
      <c r="I11" s="7" t="s">
        <v>44</v>
      </c>
      <c r="J11" s="7" t="s">
        <v>45</v>
      </c>
      <c r="K11" s="8" t="s">
        <v>46</v>
      </c>
    </row>
    <row r="12" spans="1:11" x14ac:dyDescent="0.3">
      <c r="A12" s="4">
        <v>11</v>
      </c>
      <c r="B12" s="4">
        <v>10</v>
      </c>
      <c r="C12" s="4" t="s">
        <v>17</v>
      </c>
      <c r="D12" s="5" t="s">
        <v>47</v>
      </c>
      <c r="E12" s="6">
        <f>DATE(2026,10,27)</f>
        <v>46322</v>
      </c>
      <c r="F12" s="6">
        <f>DATE(2026,11,6)</f>
        <v>46332</v>
      </c>
      <c r="G12" s="4">
        <f>F12-E12+1</f>
        <v>11</v>
      </c>
      <c r="H12" s="4" t="s">
        <v>32</v>
      </c>
      <c r="I12" s="4" t="s">
        <v>44</v>
      </c>
      <c r="J12" s="4" t="s">
        <v>48</v>
      </c>
      <c r="K12" s="5" t="s">
        <v>49</v>
      </c>
    </row>
    <row r="13" spans="1:11" x14ac:dyDescent="0.3">
      <c r="A13" s="4">
        <v>12</v>
      </c>
      <c r="B13" s="4">
        <v>10</v>
      </c>
      <c r="C13" s="4" t="s">
        <v>17</v>
      </c>
      <c r="D13" s="5" t="s">
        <v>50</v>
      </c>
      <c r="E13" s="6">
        <f>DATE(2026,11,20)</f>
        <v>46346</v>
      </c>
      <c r="F13" s="6">
        <f>DATE(2026,11,20)</f>
        <v>46346</v>
      </c>
      <c r="G13" s="4">
        <f>F13-E13+1</f>
        <v>1</v>
      </c>
      <c r="H13" s="4" t="s">
        <v>32</v>
      </c>
      <c r="I13" s="4" t="s">
        <v>44</v>
      </c>
      <c r="J13" s="4" t="s">
        <v>51</v>
      </c>
      <c r="K13" s="5" t="s">
        <v>52</v>
      </c>
    </row>
    <row r="14" spans="1:11" ht="28.8" x14ac:dyDescent="0.3">
      <c r="A14" s="4">
        <v>13</v>
      </c>
      <c r="B14" s="4">
        <v>10</v>
      </c>
      <c r="C14" s="4" t="s">
        <v>17</v>
      </c>
      <c r="D14" s="5" t="s">
        <v>53</v>
      </c>
      <c r="E14" s="6">
        <f>DATE(2026,11,16)</f>
        <v>46342</v>
      </c>
      <c r="F14" s="6">
        <f>DATE(2026,11,20)</f>
        <v>46346</v>
      </c>
      <c r="G14" s="4">
        <f>F14-E14+1</f>
        <v>5</v>
      </c>
      <c r="H14" s="4" t="s">
        <v>13</v>
      </c>
      <c r="I14" s="4" t="s">
        <v>44</v>
      </c>
      <c r="J14" s="4" t="s">
        <v>54</v>
      </c>
      <c r="K14" s="5" t="s">
        <v>55</v>
      </c>
    </row>
    <row r="15" spans="1:11" ht="28.8" x14ac:dyDescent="0.3">
      <c r="A15" s="4">
        <v>14</v>
      </c>
      <c r="B15" s="4">
        <v>10</v>
      </c>
      <c r="C15" s="4" t="s">
        <v>17</v>
      </c>
      <c r="D15" s="5" t="s">
        <v>56</v>
      </c>
      <c r="E15" s="6">
        <f>DATE(2026,11,23)</f>
        <v>46349</v>
      </c>
      <c r="F15" s="6">
        <f>DATE(2026,11,27)</f>
        <v>46353</v>
      </c>
      <c r="G15" s="4">
        <f>F15-E15+1</f>
        <v>5</v>
      </c>
      <c r="H15" s="4" t="s">
        <v>13</v>
      </c>
      <c r="I15" s="4" t="s">
        <v>44</v>
      </c>
      <c r="J15" s="4" t="s">
        <v>57</v>
      </c>
      <c r="K15" s="5" t="s">
        <v>58</v>
      </c>
    </row>
    <row r="16" spans="1:11" x14ac:dyDescent="0.3">
      <c r="A16" s="4">
        <v>15</v>
      </c>
      <c r="B16" s="4">
        <v>10</v>
      </c>
      <c r="C16" s="4" t="s">
        <v>17</v>
      </c>
      <c r="D16" s="5" t="s">
        <v>59</v>
      </c>
      <c r="E16" s="6">
        <f>DATE(2026,11,23)</f>
        <v>46349</v>
      </c>
      <c r="F16" s="6">
        <f>DATE(2026,12,4)</f>
        <v>46360</v>
      </c>
      <c r="G16" s="4">
        <f>F16-E16+1</f>
        <v>12</v>
      </c>
      <c r="H16" s="4" t="s">
        <v>13</v>
      </c>
      <c r="I16" s="4" t="s">
        <v>44</v>
      </c>
      <c r="J16" s="4" t="s">
        <v>60</v>
      </c>
      <c r="K16" s="5" t="s">
        <v>61</v>
      </c>
    </row>
    <row r="17" spans="1:11" x14ac:dyDescent="0.3">
      <c r="A17" s="4">
        <v>16</v>
      </c>
      <c r="B17" s="4">
        <v>10</v>
      </c>
      <c r="C17" s="4" t="s">
        <v>17</v>
      </c>
      <c r="D17" s="5" t="s">
        <v>62</v>
      </c>
      <c r="E17" s="6">
        <f>DATE(2026,11,30)</f>
        <v>46356</v>
      </c>
      <c r="F17" s="6">
        <f>DATE(2026,12,4)</f>
        <v>46360</v>
      </c>
      <c r="G17" s="4">
        <f>F17-E17+1</f>
        <v>5</v>
      </c>
      <c r="H17" s="4" t="s">
        <v>13</v>
      </c>
      <c r="I17" s="4" t="s">
        <v>44</v>
      </c>
      <c r="J17" s="4" t="s">
        <v>63</v>
      </c>
      <c r="K17" s="5" t="s">
        <v>64</v>
      </c>
    </row>
    <row r="18" spans="1:11" x14ac:dyDescent="0.3">
      <c r="A18" s="4">
        <v>17</v>
      </c>
      <c r="B18" s="4">
        <v>10</v>
      </c>
      <c r="C18" s="4" t="s">
        <v>17</v>
      </c>
      <c r="D18" s="5" t="s">
        <v>65</v>
      </c>
      <c r="E18" s="6">
        <f>DATE(2026,11,30)</f>
        <v>46356</v>
      </c>
      <c r="F18" s="6">
        <f>DATE(2026,12,9)</f>
        <v>46365</v>
      </c>
      <c r="G18" s="4">
        <f>F18-E18+1</f>
        <v>10</v>
      </c>
      <c r="H18" s="4" t="s">
        <v>13</v>
      </c>
      <c r="I18" s="4" t="s">
        <v>44</v>
      </c>
      <c r="J18" s="4" t="s">
        <v>66</v>
      </c>
      <c r="K18" s="5" t="s">
        <v>67</v>
      </c>
    </row>
    <row r="19" spans="1:11" x14ac:dyDescent="0.3">
      <c r="A19" s="4">
        <v>18</v>
      </c>
      <c r="B19" s="4">
        <v>10</v>
      </c>
      <c r="C19" s="4" t="s">
        <v>17</v>
      </c>
      <c r="D19" s="5" t="s">
        <v>68</v>
      </c>
      <c r="E19" s="6">
        <f>DATE(2026,12,7)</f>
        <v>46363</v>
      </c>
      <c r="F19" s="6">
        <f>DATE(2026,12,14)</f>
        <v>46370</v>
      </c>
      <c r="G19" s="4">
        <f>F19-E19+1</f>
        <v>8</v>
      </c>
      <c r="H19" s="4" t="s">
        <v>13</v>
      </c>
      <c r="I19" s="4" t="s">
        <v>44</v>
      </c>
      <c r="J19" s="4" t="s">
        <v>69</v>
      </c>
      <c r="K19" s="5" t="s">
        <v>70</v>
      </c>
    </row>
    <row r="20" spans="1:11" x14ac:dyDescent="0.3">
      <c r="A20" s="7">
        <v>19</v>
      </c>
      <c r="B20" s="7"/>
      <c r="C20" s="7" t="s">
        <v>11</v>
      </c>
      <c r="D20" s="8" t="s">
        <v>71</v>
      </c>
      <c r="E20" s="9">
        <f>DATE(2026,11,24)</f>
        <v>46350</v>
      </c>
      <c r="F20" s="9">
        <f>DATE(2027,1,18)</f>
        <v>46405</v>
      </c>
      <c r="G20" s="7">
        <f>F20-E20+1</f>
        <v>56</v>
      </c>
      <c r="H20" s="7" t="s">
        <v>13</v>
      </c>
      <c r="I20" s="7" t="s">
        <v>44</v>
      </c>
      <c r="J20" s="7" t="s">
        <v>72</v>
      </c>
      <c r="K20" s="8" t="s">
        <v>73</v>
      </c>
    </row>
    <row r="21" spans="1:11" ht="28.8" x14ac:dyDescent="0.3">
      <c r="A21" s="4">
        <v>20</v>
      </c>
      <c r="B21" s="4">
        <v>19</v>
      </c>
      <c r="C21" s="4" t="s">
        <v>17</v>
      </c>
      <c r="D21" s="5" t="s">
        <v>74</v>
      </c>
      <c r="E21" s="6">
        <f>DATE(2026,11,24)</f>
        <v>46350</v>
      </c>
      <c r="F21" s="6">
        <f>DATE(2026,12,4)</f>
        <v>46360</v>
      </c>
      <c r="G21" s="4">
        <f>F21-E21+1</f>
        <v>11</v>
      </c>
      <c r="H21" s="4" t="s">
        <v>13</v>
      </c>
      <c r="I21" s="4" t="s">
        <v>44</v>
      </c>
      <c r="J21" s="4" t="s">
        <v>75</v>
      </c>
      <c r="K21" s="5" t="s">
        <v>76</v>
      </c>
    </row>
    <row r="22" spans="1:11" x14ac:dyDescent="0.3">
      <c r="A22" s="4">
        <v>21</v>
      </c>
      <c r="B22" s="4">
        <v>19</v>
      </c>
      <c r="C22" s="4" t="s">
        <v>17</v>
      </c>
      <c r="D22" s="5" t="s">
        <v>77</v>
      </c>
      <c r="E22" s="6">
        <f>DATE(2026,12,7)</f>
        <v>46363</v>
      </c>
      <c r="F22" s="6">
        <f>DATE(2026,12,11)</f>
        <v>46367</v>
      </c>
      <c r="G22" s="4">
        <f>F22-E22+1</f>
        <v>5</v>
      </c>
      <c r="H22" s="4" t="s">
        <v>13</v>
      </c>
      <c r="I22" s="4" t="s">
        <v>44</v>
      </c>
      <c r="J22" s="4" t="s">
        <v>78</v>
      </c>
      <c r="K22" s="5" t="s">
        <v>79</v>
      </c>
    </row>
    <row r="23" spans="1:11" x14ac:dyDescent="0.3">
      <c r="A23" s="4">
        <v>22</v>
      </c>
      <c r="B23" s="4">
        <v>19</v>
      </c>
      <c r="C23" s="4" t="s">
        <v>17</v>
      </c>
      <c r="D23" s="5" t="s">
        <v>80</v>
      </c>
      <c r="E23" s="6">
        <f>DATE(2026,12,10)</f>
        <v>46366</v>
      </c>
      <c r="F23" s="6">
        <f>DATE(2026,12,16)</f>
        <v>46372</v>
      </c>
      <c r="G23" s="4">
        <f>F23-E23+1</f>
        <v>7</v>
      </c>
      <c r="H23" s="4" t="s">
        <v>13</v>
      </c>
      <c r="I23" s="4" t="s">
        <v>44</v>
      </c>
      <c r="J23" s="4" t="s">
        <v>72</v>
      </c>
      <c r="K23" s="5" t="s">
        <v>81</v>
      </c>
    </row>
    <row r="24" spans="1:11" x14ac:dyDescent="0.3">
      <c r="A24" s="4">
        <v>23</v>
      </c>
      <c r="B24" s="4">
        <v>19</v>
      </c>
      <c r="C24" s="4" t="s">
        <v>17</v>
      </c>
      <c r="D24" s="5" t="s">
        <v>82</v>
      </c>
      <c r="E24" s="6">
        <f>DATE(2026,12,14)</f>
        <v>46370</v>
      </c>
      <c r="F24" s="6">
        <f>DATE(2026,12,18)</f>
        <v>46374</v>
      </c>
      <c r="G24" s="4">
        <f>F24-E24+1</f>
        <v>5</v>
      </c>
      <c r="H24" s="4" t="s">
        <v>13</v>
      </c>
      <c r="I24" s="4" t="s">
        <v>44</v>
      </c>
      <c r="J24" s="4" t="s">
        <v>78</v>
      </c>
      <c r="K24" s="5" t="s">
        <v>83</v>
      </c>
    </row>
    <row r="25" spans="1:11" x14ac:dyDescent="0.3">
      <c r="A25" s="4">
        <v>24</v>
      </c>
      <c r="B25" s="4">
        <v>19</v>
      </c>
      <c r="C25" s="4" t="s">
        <v>17</v>
      </c>
      <c r="D25" s="5" t="s">
        <v>84</v>
      </c>
      <c r="E25" s="6">
        <f>DATE(2027,1,4)</f>
        <v>46391</v>
      </c>
      <c r="F25" s="6">
        <f>DATE(2027,1,8)</f>
        <v>46395</v>
      </c>
      <c r="G25" s="4">
        <f>F25-E25+1</f>
        <v>5</v>
      </c>
      <c r="H25" s="4" t="s">
        <v>13</v>
      </c>
      <c r="I25" s="4" t="s">
        <v>44</v>
      </c>
      <c r="J25" s="4" t="s">
        <v>78</v>
      </c>
      <c r="K25" s="5" t="s">
        <v>85</v>
      </c>
    </row>
    <row r="26" spans="1:11" x14ac:dyDescent="0.3">
      <c r="A26" s="4">
        <v>25</v>
      </c>
      <c r="B26" s="4">
        <v>19</v>
      </c>
      <c r="C26" s="4" t="s">
        <v>17</v>
      </c>
      <c r="D26" s="5" t="s">
        <v>86</v>
      </c>
      <c r="E26" s="6">
        <f>DATE(2027,1,11)</f>
        <v>46398</v>
      </c>
      <c r="F26" s="6">
        <f>DATE(2027,1,13)</f>
        <v>46400</v>
      </c>
      <c r="G26" s="4">
        <f>F26-E26+1</f>
        <v>3</v>
      </c>
      <c r="H26" s="4" t="s">
        <v>23</v>
      </c>
      <c r="I26" s="4" t="s">
        <v>44</v>
      </c>
      <c r="J26" s="4" t="s">
        <v>78</v>
      </c>
      <c r="K26" s="5" t="s">
        <v>87</v>
      </c>
    </row>
    <row r="27" spans="1:11" x14ac:dyDescent="0.3">
      <c r="A27" s="4">
        <v>26</v>
      </c>
      <c r="B27" s="4">
        <v>19</v>
      </c>
      <c r="C27" s="4" t="s">
        <v>17</v>
      </c>
      <c r="D27" s="5" t="s">
        <v>88</v>
      </c>
      <c r="E27" s="6">
        <f>DATE(2027,1,11)</f>
        <v>46398</v>
      </c>
      <c r="F27" s="6">
        <f>DATE(2027,1,15)</f>
        <v>46402</v>
      </c>
      <c r="G27" s="4">
        <f>F27-E27+1</f>
        <v>5</v>
      </c>
      <c r="H27" s="4" t="s">
        <v>13</v>
      </c>
      <c r="I27" s="4" t="s">
        <v>44</v>
      </c>
      <c r="J27" s="4" t="s">
        <v>89</v>
      </c>
      <c r="K27" s="5" t="s">
        <v>90</v>
      </c>
    </row>
    <row r="28" spans="1:11" ht="28.8" x14ac:dyDescent="0.3">
      <c r="A28" s="4">
        <v>27</v>
      </c>
      <c r="B28" s="4">
        <v>19</v>
      </c>
      <c r="C28" s="4" t="s">
        <v>17</v>
      </c>
      <c r="D28" s="5" t="s">
        <v>91</v>
      </c>
      <c r="E28" s="6">
        <f>DATE(2027,1,13)</f>
        <v>46400</v>
      </c>
      <c r="F28" s="6">
        <f>DATE(2027,1,18)</f>
        <v>46405</v>
      </c>
      <c r="G28" s="4">
        <f>F28-E28+1</f>
        <v>6</v>
      </c>
      <c r="H28" s="4" t="s">
        <v>13</v>
      </c>
      <c r="I28" s="4" t="s">
        <v>44</v>
      </c>
      <c r="J28" s="4" t="s">
        <v>89</v>
      </c>
      <c r="K28" s="5" t="s">
        <v>92</v>
      </c>
    </row>
    <row r="29" spans="1:11" ht="28.8" x14ac:dyDescent="0.3">
      <c r="A29" s="7">
        <v>28</v>
      </c>
      <c r="B29" s="7"/>
      <c r="C29" s="7" t="s">
        <v>11</v>
      </c>
      <c r="D29" s="8" t="s">
        <v>93</v>
      </c>
      <c r="E29" s="9">
        <f>DATE(2027,1,5)</f>
        <v>46392</v>
      </c>
      <c r="F29" s="9">
        <f>DATE(2027,2,8)</f>
        <v>46426</v>
      </c>
      <c r="G29" s="7">
        <f>F29-E29+1</f>
        <v>35</v>
      </c>
      <c r="H29" s="7" t="s">
        <v>13</v>
      </c>
      <c r="I29" s="7" t="s">
        <v>44</v>
      </c>
      <c r="J29" s="7" t="s">
        <v>94</v>
      </c>
      <c r="K29" s="8" t="s">
        <v>95</v>
      </c>
    </row>
    <row r="30" spans="1:11" x14ac:dyDescent="0.3">
      <c r="A30" s="4">
        <v>29</v>
      </c>
      <c r="B30" s="4">
        <v>28</v>
      </c>
      <c r="C30" s="4" t="s">
        <v>17</v>
      </c>
      <c r="D30" s="5" t="s">
        <v>96</v>
      </c>
      <c r="E30" s="6">
        <f>DATE(2027,1,5)</f>
        <v>46392</v>
      </c>
      <c r="F30" s="6">
        <f>DATE(2027,1,15)</f>
        <v>46402</v>
      </c>
      <c r="G30" s="4">
        <f>F30-E30+1</f>
        <v>11</v>
      </c>
      <c r="H30" s="4" t="s">
        <v>23</v>
      </c>
      <c r="I30" s="4" t="s">
        <v>44</v>
      </c>
      <c r="J30" s="4" t="s">
        <v>97</v>
      </c>
      <c r="K30" s="5" t="s">
        <v>98</v>
      </c>
    </row>
    <row r="31" spans="1:11" x14ac:dyDescent="0.3">
      <c r="A31" s="4">
        <v>30</v>
      </c>
      <c r="B31" s="4">
        <v>28</v>
      </c>
      <c r="C31" s="4" t="s">
        <v>17</v>
      </c>
      <c r="D31" s="5" t="s">
        <v>99</v>
      </c>
      <c r="E31" s="6">
        <f>DATE(2027,1,19)</f>
        <v>46406</v>
      </c>
      <c r="F31" s="6">
        <f>DATE(2027,1,22)</f>
        <v>46409</v>
      </c>
      <c r="G31" s="4">
        <f>F31-E31+1</f>
        <v>4</v>
      </c>
      <c r="H31" s="4" t="s">
        <v>13</v>
      </c>
      <c r="I31" s="4" t="s">
        <v>44</v>
      </c>
      <c r="J31" s="4" t="s">
        <v>97</v>
      </c>
      <c r="K31" s="5" t="s">
        <v>100</v>
      </c>
    </row>
    <row r="32" spans="1:11" x14ac:dyDescent="0.3">
      <c r="A32" s="4">
        <v>31</v>
      </c>
      <c r="B32" s="4">
        <v>28</v>
      </c>
      <c r="C32" s="4" t="s">
        <v>17</v>
      </c>
      <c r="D32" s="5" t="s">
        <v>101</v>
      </c>
      <c r="E32" s="6">
        <f>DATE(2027,1,19)</f>
        <v>46406</v>
      </c>
      <c r="F32" s="6">
        <f>DATE(2027,1,29)</f>
        <v>46416</v>
      </c>
      <c r="G32" s="4">
        <f>F32-E32+1</f>
        <v>11</v>
      </c>
      <c r="H32" s="4" t="s">
        <v>13</v>
      </c>
      <c r="I32" s="4" t="s">
        <v>44</v>
      </c>
      <c r="J32" s="4" t="s">
        <v>94</v>
      </c>
      <c r="K32" s="5" t="s">
        <v>102</v>
      </c>
    </row>
    <row r="33" spans="1:11" x14ac:dyDescent="0.3">
      <c r="A33" s="4">
        <v>32</v>
      </c>
      <c r="B33" s="4">
        <v>28</v>
      </c>
      <c r="C33" s="4" t="s">
        <v>17</v>
      </c>
      <c r="D33" s="5" t="s">
        <v>103</v>
      </c>
      <c r="E33" s="6">
        <f>DATE(2027,1,26)</f>
        <v>46413</v>
      </c>
      <c r="F33" s="6">
        <f>DATE(2027,2,5)</f>
        <v>46423</v>
      </c>
      <c r="G33" s="4">
        <f>F33-E33+1</f>
        <v>11</v>
      </c>
      <c r="H33" s="4" t="s">
        <v>13</v>
      </c>
      <c r="I33" s="4" t="s">
        <v>44</v>
      </c>
      <c r="J33" s="4" t="s">
        <v>104</v>
      </c>
      <c r="K33" s="5" t="s">
        <v>105</v>
      </c>
    </row>
    <row r="34" spans="1:11" x14ac:dyDescent="0.3">
      <c r="A34" s="4">
        <v>33</v>
      </c>
      <c r="B34" s="4">
        <v>28</v>
      </c>
      <c r="C34" s="4" t="s">
        <v>17</v>
      </c>
      <c r="D34" s="5" t="s">
        <v>106</v>
      </c>
      <c r="E34" s="6">
        <f>DATE(2027,2,1)</f>
        <v>46419</v>
      </c>
      <c r="F34" s="6">
        <f>DATE(2027,2,5)</f>
        <v>46423</v>
      </c>
      <c r="G34" s="4">
        <f>F34-E34+1</f>
        <v>5</v>
      </c>
      <c r="H34" s="4" t="s">
        <v>23</v>
      </c>
      <c r="I34" s="4" t="s">
        <v>44</v>
      </c>
      <c r="J34" s="4" t="s">
        <v>107</v>
      </c>
      <c r="K34" s="5" t="s">
        <v>108</v>
      </c>
    </row>
    <row r="35" spans="1:11" x14ac:dyDescent="0.3">
      <c r="A35" s="7">
        <v>34</v>
      </c>
      <c r="B35" s="7"/>
      <c r="C35" s="7" t="s">
        <v>11</v>
      </c>
      <c r="D35" s="8" t="s">
        <v>109</v>
      </c>
      <c r="E35" s="9">
        <f>DATE(2027,1,25)</f>
        <v>46412</v>
      </c>
      <c r="F35" s="9">
        <f>DATE(2027,2,26)</f>
        <v>46444</v>
      </c>
      <c r="G35" s="7">
        <f>F35-E35+1</f>
        <v>33</v>
      </c>
      <c r="H35" s="7" t="s">
        <v>13</v>
      </c>
      <c r="I35" s="7" t="s">
        <v>44</v>
      </c>
      <c r="J35" s="7" t="s">
        <v>110</v>
      </c>
      <c r="K35" s="8" t="s">
        <v>111</v>
      </c>
    </row>
    <row r="36" spans="1:11" x14ac:dyDescent="0.3">
      <c r="A36" s="4">
        <v>35</v>
      </c>
      <c r="B36" s="4">
        <v>34</v>
      </c>
      <c r="C36" s="4" t="s">
        <v>17</v>
      </c>
      <c r="D36" s="5" t="s">
        <v>112</v>
      </c>
      <c r="E36" s="6">
        <f>DATE(2027,1,25)</f>
        <v>46412</v>
      </c>
      <c r="F36" s="6">
        <f>DATE(2027,2,5)</f>
        <v>46423</v>
      </c>
      <c r="G36" s="4">
        <f>F36-E36+1</f>
        <v>12</v>
      </c>
      <c r="H36" s="4" t="s">
        <v>13</v>
      </c>
      <c r="I36" s="4" t="s">
        <v>44</v>
      </c>
      <c r="J36" s="4" t="s">
        <v>113</v>
      </c>
      <c r="K36" s="5" t="s">
        <v>114</v>
      </c>
    </row>
    <row r="37" spans="1:11" x14ac:dyDescent="0.3">
      <c r="A37" s="4">
        <v>36</v>
      </c>
      <c r="B37" s="4">
        <v>34</v>
      </c>
      <c r="C37" s="4" t="s">
        <v>17</v>
      </c>
      <c r="D37" s="5" t="s">
        <v>115</v>
      </c>
      <c r="E37" s="6">
        <f>DATE(2027,2,10)</f>
        <v>46428</v>
      </c>
      <c r="F37" s="6">
        <f>DATE(2027,2,12)</f>
        <v>46430</v>
      </c>
      <c r="G37" s="4">
        <f>F37-E37+1</f>
        <v>3</v>
      </c>
      <c r="H37" s="4" t="s">
        <v>23</v>
      </c>
      <c r="I37" s="4" t="s">
        <v>44</v>
      </c>
      <c r="J37" s="4" t="s">
        <v>116</v>
      </c>
      <c r="K37" s="5" t="s">
        <v>117</v>
      </c>
    </row>
    <row r="38" spans="1:11" x14ac:dyDescent="0.3">
      <c r="A38" s="4">
        <v>37</v>
      </c>
      <c r="B38" s="4">
        <v>34</v>
      </c>
      <c r="C38" s="4" t="s">
        <v>17</v>
      </c>
      <c r="D38" s="5" t="s">
        <v>118</v>
      </c>
      <c r="E38" s="6">
        <f>DATE(2027,2,10)</f>
        <v>46428</v>
      </c>
      <c r="F38" s="6">
        <f>DATE(2027,2,16)</f>
        <v>46434</v>
      </c>
      <c r="G38" s="4">
        <f>F38-E38+1</f>
        <v>7</v>
      </c>
      <c r="H38" s="4" t="s">
        <v>32</v>
      </c>
      <c r="I38" s="4" t="s">
        <v>44</v>
      </c>
      <c r="J38" s="4" t="s">
        <v>119</v>
      </c>
      <c r="K38" s="5" t="s">
        <v>120</v>
      </c>
    </row>
    <row r="39" spans="1:11" x14ac:dyDescent="0.3">
      <c r="A39" s="4">
        <v>38</v>
      </c>
      <c r="B39" s="4">
        <v>34</v>
      </c>
      <c r="C39" s="4" t="s">
        <v>17</v>
      </c>
      <c r="D39" s="5" t="s">
        <v>121</v>
      </c>
      <c r="E39" s="6">
        <f>DATE(2027,2,16)</f>
        <v>46434</v>
      </c>
      <c r="F39" s="6">
        <f>DATE(2027,2,22)</f>
        <v>46440</v>
      </c>
      <c r="G39" s="4">
        <f>F39-E39+1</f>
        <v>7</v>
      </c>
      <c r="H39" s="4" t="s">
        <v>32</v>
      </c>
      <c r="I39" s="4" t="s">
        <v>44</v>
      </c>
      <c r="J39" s="4" t="s">
        <v>122</v>
      </c>
      <c r="K39" s="5" t="s">
        <v>123</v>
      </c>
    </row>
    <row r="40" spans="1:11" x14ac:dyDescent="0.3">
      <c r="A40" s="4">
        <v>39</v>
      </c>
      <c r="B40" s="4">
        <v>34</v>
      </c>
      <c r="C40" s="4" t="s">
        <v>17</v>
      </c>
      <c r="D40" s="5" t="s">
        <v>124</v>
      </c>
      <c r="E40" s="6">
        <f>DATE(2027,2,16)</f>
        <v>46434</v>
      </c>
      <c r="F40" s="6">
        <f>DATE(2027,2,25)</f>
        <v>46443</v>
      </c>
      <c r="G40" s="4">
        <f>F40-E40+1</f>
        <v>10</v>
      </c>
      <c r="H40" s="4" t="s">
        <v>13</v>
      </c>
      <c r="I40" s="4" t="s">
        <v>44</v>
      </c>
      <c r="J40" s="4" t="s">
        <v>125</v>
      </c>
      <c r="K40" s="5" t="s">
        <v>126</v>
      </c>
    </row>
    <row r="41" spans="1:11" x14ac:dyDescent="0.3">
      <c r="A41" s="4">
        <v>40</v>
      </c>
      <c r="B41" s="4">
        <v>34</v>
      </c>
      <c r="C41" s="4" t="s">
        <v>17</v>
      </c>
      <c r="D41" s="5" t="s">
        <v>127</v>
      </c>
      <c r="E41" s="6">
        <f>DATE(2027,2,26)</f>
        <v>46444</v>
      </c>
      <c r="F41" s="6">
        <f>DATE(2027,2,26)</f>
        <v>46444</v>
      </c>
      <c r="G41" s="4">
        <f>F41-E41+1</f>
        <v>1</v>
      </c>
      <c r="H41" s="4" t="s">
        <v>32</v>
      </c>
      <c r="I41" s="4" t="s">
        <v>44</v>
      </c>
      <c r="J41" s="4" t="s">
        <v>128</v>
      </c>
      <c r="K41" s="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1B04-FAA9-4110-8ABC-EAA99FD068A2}">
  <sheetPr>
    <pageSetUpPr fitToPage="1"/>
  </sheetPr>
  <dimension ref="A1:Z44"/>
  <sheetViews>
    <sheetView showGridLines="0" tabSelected="1" workbookViewId="0">
      <pane xSplit="5" ySplit="4" topLeftCell="F5" activePane="bottomRight" state="frozenSplit"/>
      <selection pane="bottomLeft" activeCell="A5" sqref="A5"/>
      <selection pane="topRight" activeCell="F1" sqref="F1"/>
      <selection pane="bottomRight"/>
    </sheetView>
  </sheetViews>
  <sheetFormatPr baseColWidth="10" defaultRowHeight="14.4" x14ac:dyDescent="0.3"/>
  <cols>
    <col min="1" max="1" width="5.77734375" customWidth="1"/>
    <col min="2" max="2" width="62.77734375" customWidth="1"/>
    <col min="3" max="4" width="11.77734375" customWidth="1"/>
    <col min="5" max="5" width="10.77734375" customWidth="1"/>
    <col min="6" max="25" width="4" customWidth="1"/>
    <col min="26" max="26" width="0" hidden="1" customWidth="1"/>
  </cols>
  <sheetData>
    <row r="1" spans="1:26" ht="18" x14ac:dyDescent="0.35">
      <c r="A1" s="10" t="s">
        <v>130</v>
      </c>
    </row>
    <row r="2" spans="1:26" x14ac:dyDescent="0.3">
      <c r="A2" s="11" t="s">
        <v>131</v>
      </c>
    </row>
    <row r="3" spans="1:26" x14ac:dyDescent="0.3">
      <c r="A3" s="12"/>
      <c r="B3" s="12"/>
      <c r="C3" s="12"/>
      <c r="D3" s="12"/>
      <c r="E3" s="12"/>
      <c r="F3" s="13" t="str">
        <f ca="1">IF(AND(TODAY()&gt;=F$4,TODAY()&lt;F$4+7),"Hoy","S1")</f>
        <v>S1</v>
      </c>
      <c r="G3" s="13" t="str">
        <f ca="1">IF(AND(TODAY()&gt;=G$4,TODAY()&lt;G$4+7),"Hoy","S2")</f>
        <v>S2</v>
      </c>
      <c r="H3" s="13" t="str">
        <f ca="1">IF(AND(TODAY()&gt;=H$4,TODAY()&lt;H$4+7),"Hoy","S3")</f>
        <v>Hoy</v>
      </c>
      <c r="I3" s="13" t="str">
        <f ca="1">IF(AND(TODAY()&gt;=I$4,TODAY()&lt;I$4+7),"Hoy","S4")</f>
        <v>S4</v>
      </c>
      <c r="J3" s="13" t="str">
        <f ca="1">IF(AND(TODAY()&gt;=J$4,TODAY()&lt;J$4+7),"Hoy","S5")</f>
        <v>S5</v>
      </c>
      <c r="K3" s="13" t="str">
        <f ca="1">IF(AND(TODAY()&gt;=K$4,TODAY()&lt;K$4+7),"Hoy","S6")</f>
        <v>S6</v>
      </c>
      <c r="L3" s="13" t="str">
        <f ca="1">IF(AND(TODAY()&gt;=L$4,TODAY()&lt;L$4+7),"Hoy","S7")</f>
        <v>S7</v>
      </c>
      <c r="M3" s="13" t="str">
        <f ca="1">IF(AND(TODAY()&gt;=M$4,TODAY()&lt;M$4+7),"Hoy","S8")</f>
        <v>S8</v>
      </c>
      <c r="N3" s="13" t="str">
        <f ca="1">IF(AND(TODAY()&gt;=N$4,TODAY()&lt;N$4+7),"Hoy","S9")</f>
        <v>S9</v>
      </c>
      <c r="O3" s="13" t="str">
        <f ca="1">IF(AND(TODAY()&gt;=O$4,TODAY()&lt;O$4+7),"Hoy","S10")</f>
        <v>S10</v>
      </c>
      <c r="P3" s="13" t="str">
        <f ca="1">IF(AND(TODAY()&gt;=P$4,TODAY()&lt;P$4+7),"Hoy","S11")</f>
        <v>S11</v>
      </c>
      <c r="Q3" s="13" t="str">
        <f ca="1">IF(AND(TODAY()&gt;=Q$4,TODAY()&lt;Q$4+7),"Hoy","S12")</f>
        <v>S12</v>
      </c>
      <c r="R3" s="13" t="str">
        <f ca="1">IF(AND(TODAY()&gt;=R$4,TODAY()&lt;R$4+7),"Hoy","S13")</f>
        <v>S13</v>
      </c>
      <c r="S3" s="13" t="str">
        <f ca="1">IF(AND(TODAY()&gt;=S$4,TODAY()&lt;S$4+7),"Hoy","S14")</f>
        <v>S14</v>
      </c>
      <c r="T3" s="13" t="str">
        <f ca="1">IF(AND(TODAY()&gt;=T$4,TODAY()&lt;T$4+7),"Hoy","S15")</f>
        <v>S15</v>
      </c>
      <c r="U3" s="13" t="str">
        <f ca="1">IF(AND(TODAY()&gt;=U$4,TODAY()&lt;U$4+7),"Hoy","S16")</f>
        <v>S16</v>
      </c>
      <c r="V3" s="13" t="str">
        <f ca="1">IF(AND(TODAY()&gt;=V$4,TODAY()&lt;V$4+7),"Hoy","S17")</f>
        <v>S17</v>
      </c>
      <c r="W3" s="13" t="str">
        <f ca="1">IF(AND(TODAY()&gt;=W$4,TODAY()&lt;W$4+7),"Hoy","S18")</f>
        <v>S18</v>
      </c>
      <c r="X3" s="13" t="str">
        <f ca="1">IF(AND(TODAY()&gt;=X$4,TODAY()&lt;X$4+7),"Hoy","S19")</f>
        <v>S19</v>
      </c>
      <c r="Y3" s="13" t="str">
        <f ca="1">IF(AND(TODAY()&gt;=Y$4,TODAY()&lt;Y$4+7),"Hoy","S20")</f>
        <v>S20</v>
      </c>
    </row>
    <row r="4" spans="1:26" ht="37.200000000000003" x14ac:dyDescent="0.3">
      <c r="A4" s="14" t="s">
        <v>0</v>
      </c>
      <c r="B4" s="14" t="s">
        <v>132</v>
      </c>
      <c r="C4" s="14" t="s">
        <v>4</v>
      </c>
      <c r="D4" s="14" t="s">
        <v>5</v>
      </c>
      <c r="E4" s="14" t="s">
        <v>8</v>
      </c>
      <c r="F4" s="15">
        <f>DATE(2026,10,13)</f>
        <v>46308</v>
      </c>
      <c r="G4" s="15">
        <f>DATE(2026,10,20)</f>
        <v>46315</v>
      </c>
      <c r="H4" s="15">
        <f>DATE(2026,10,27)</f>
        <v>46322</v>
      </c>
      <c r="I4" s="15">
        <f>DATE(2026,11,3)</f>
        <v>46329</v>
      </c>
      <c r="J4" s="15">
        <f>DATE(2026,11,10)</f>
        <v>46336</v>
      </c>
      <c r="K4" s="15">
        <f>DATE(2026,11,17)</f>
        <v>46343</v>
      </c>
      <c r="L4" s="15">
        <f>DATE(2026,11,24)</f>
        <v>46350</v>
      </c>
      <c r="M4" s="15">
        <f>DATE(2026,12,1)</f>
        <v>46357</v>
      </c>
      <c r="N4" s="15">
        <f>DATE(2026,12,8)</f>
        <v>46364</v>
      </c>
      <c r="O4" s="15">
        <f>DATE(2026,12,15)</f>
        <v>46371</v>
      </c>
      <c r="P4" s="15">
        <f>DATE(2026,12,22)</f>
        <v>46378</v>
      </c>
      <c r="Q4" s="15">
        <f>DATE(2026,12,29)</f>
        <v>46385</v>
      </c>
      <c r="R4" s="15">
        <f>DATE(2027,1,5)</f>
        <v>46392</v>
      </c>
      <c r="S4" s="15">
        <f>DATE(2027,1,12)</f>
        <v>46399</v>
      </c>
      <c r="T4" s="15">
        <f>DATE(2027,1,19)</f>
        <v>46406</v>
      </c>
      <c r="U4" s="15">
        <f>DATE(2027,1,26)</f>
        <v>46413</v>
      </c>
      <c r="V4" s="15">
        <f>DATE(2027,2,2)</f>
        <v>46420</v>
      </c>
      <c r="W4" s="15">
        <f>DATE(2027,2,9)</f>
        <v>46427</v>
      </c>
      <c r="X4" s="15">
        <f>DATE(2027,2,16)</f>
        <v>46434</v>
      </c>
      <c r="Y4" s="15">
        <f>DATE(2027,2,23)</f>
        <v>46441</v>
      </c>
    </row>
    <row r="5" spans="1:26" x14ac:dyDescent="0.3">
      <c r="A5" s="19">
        <f>Tareas!A2</f>
        <v>1</v>
      </c>
      <c r="B5" s="19" t="str">
        <f>IF(Tareas!C2="Épica",Tareas!D2,"    "&amp;Tareas!D2)</f>
        <v>E1 Análisis de universidades y diseño metodológico (OE2)</v>
      </c>
      <c r="C5" s="20">
        <f>Tareas!E2</f>
        <v>46308</v>
      </c>
      <c r="D5" s="20">
        <f>Tareas!F2</f>
        <v>46342</v>
      </c>
      <c r="E5" s="19" t="str">
        <f>Tareas!I2</f>
        <v>En curso</v>
      </c>
      <c r="F5" s="18" t="str">
        <f t="shared" ref="F5:Y5" si="0">IF(AND($C5&lt;=F$4+6,$D5&gt;=F$4),$Z5,"")</f>
        <v>E</v>
      </c>
      <c r="G5" s="18" t="str">
        <f t="shared" si="0"/>
        <v>E</v>
      </c>
      <c r="H5" s="18" t="str">
        <f t="shared" si="0"/>
        <v>E</v>
      </c>
      <c r="I5" s="18" t="str">
        <f t="shared" si="0"/>
        <v>E</v>
      </c>
      <c r="J5" s="18" t="str">
        <f t="shared" si="0"/>
        <v>E</v>
      </c>
      <c r="K5" s="18" t="str">
        <f t="shared" si="0"/>
        <v/>
      </c>
      <c r="L5" s="18" t="str">
        <f t="shared" si="0"/>
        <v/>
      </c>
      <c r="M5" s="18" t="str">
        <f t="shared" si="0"/>
        <v/>
      </c>
      <c r="N5" s="18" t="str">
        <f t="shared" si="0"/>
        <v/>
      </c>
      <c r="O5" s="18" t="str">
        <f t="shared" si="0"/>
        <v/>
      </c>
      <c r="P5" s="18" t="str">
        <f t="shared" si="0"/>
        <v/>
      </c>
      <c r="Q5" s="18" t="str">
        <f t="shared" si="0"/>
        <v/>
      </c>
      <c r="R5" s="18" t="str">
        <f t="shared" si="0"/>
        <v/>
      </c>
      <c r="S5" s="18" t="str">
        <f t="shared" si="0"/>
        <v/>
      </c>
      <c r="T5" s="18" t="str">
        <f t="shared" si="0"/>
        <v/>
      </c>
      <c r="U5" s="18" t="str">
        <f t="shared" si="0"/>
        <v/>
      </c>
      <c r="V5" s="18" t="str">
        <f t="shared" si="0"/>
        <v/>
      </c>
      <c r="W5" s="18" t="str">
        <f t="shared" si="0"/>
        <v/>
      </c>
      <c r="X5" s="18" t="str">
        <f t="shared" si="0"/>
        <v/>
      </c>
      <c r="Y5" s="18" t="str">
        <f t="shared" si="0"/>
        <v/>
      </c>
      <c r="Z5" t="str">
        <f>IF(ISNUMBER(SEARCH("hito",Tareas!J2)),"H",IF(Tareas!C2="Épica","E",IF(Tareas!I2="Listo","L","T")))</f>
        <v>E</v>
      </c>
    </row>
    <row r="6" spans="1:26" x14ac:dyDescent="0.3">
      <c r="A6" s="16">
        <f>Tareas!A3</f>
        <v>2</v>
      </c>
      <c r="B6" s="16" t="str">
        <f>IF(Tareas!C3="Épica",Tareas!D3,"    "&amp;Tareas!D3)</f>
        <v xml:space="preserve">    Revisión de la normativa ecuatoriana (LOPDP; RLOPDP; resoluciones SPDP; LOFC 2026)</v>
      </c>
      <c r="C6" s="17">
        <f>Tareas!E3</f>
        <v>46308</v>
      </c>
      <c r="D6" s="17">
        <f>Tareas!F3</f>
        <v>46318</v>
      </c>
      <c r="E6" s="16" t="str">
        <f>Tareas!I3</f>
        <v>Listo</v>
      </c>
      <c r="F6" s="18" t="str">
        <f t="shared" ref="F6:Y6" si="1">IF(AND($C6&lt;=F$4+6,$D6&gt;=F$4),$Z6,"")</f>
        <v>L</v>
      </c>
      <c r="G6" s="18" t="str">
        <f t="shared" si="1"/>
        <v>L</v>
      </c>
      <c r="H6" s="18" t="str">
        <f t="shared" si="1"/>
        <v/>
      </c>
      <c r="I6" s="18" t="str">
        <f t="shared" si="1"/>
        <v/>
      </c>
      <c r="J6" s="18" t="str">
        <f t="shared" si="1"/>
        <v/>
      </c>
      <c r="K6" s="18" t="str">
        <f t="shared" si="1"/>
        <v/>
      </c>
      <c r="L6" s="18" t="str">
        <f t="shared" si="1"/>
        <v/>
      </c>
      <c r="M6" s="18" t="str">
        <f t="shared" si="1"/>
        <v/>
      </c>
      <c r="N6" s="18" t="str">
        <f t="shared" si="1"/>
        <v/>
      </c>
      <c r="O6" s="18" t="str">
        <f t="shared" si="1"/>
        <v/>
      </c>
      <c r="P6" s="18" t="str">
        <f t="shared" si="1"/>
        <v/>
      </c>
      <c r="Q6" s="18" t="str">
        <f t="shared" si="1"/>
        <v/>
      </c>
      <c r="R6" s="18" t="str">
        <f t="shared" si="1"/>
        <v/>
      </c>
      <c r="S6" s="18" t="str">
        <f t="shared" si="1"/>
        <v/>
      </c>
      <c r="T6" s="18" t="str">
        <f t="shared" si="1"/>
        <v/>
      </c>
      <c r="U6" s="18" t="str">
        <f t="shared" si="1"/>
        <v/>
      </c>
      <c r="V6" s="18" t="str">
        <f t="shared" si="1"/>
        <v/>
      </c>
      <c r="W6" s="18" t="str">
        <f t="shared" si="1"/>
        <v/>
      </c>
      <c r="X6" s="18" t="str">
        <f t="shared" si="1"/>
        <v/>
      </c>
      <c r="Y6" s="18" t="str">
        <f t="shared" si="1"/>
        <v/>
      </c>
      <c r="Z6" t="str">
        <f>IF(ISNUMBER(SEARCH("hito",Tareas!J3)),"H",IF(Tareas!C3="Épica","E",IF(Tareas!I3="Listo","L","T")))</f>
        <v>L</v>
      </c>
    </row>
    <row r="7" spans="1:26" x14ac:dyDescent="0.3">
      <c r="A7" s="16">
        <f>Tareas!A4</f>
        <v>3</v>
      </c>
      <c r="B7" s="16" t="str">
        <f>IF(Tareas!C4="Épica",Tareas!D4,"    "&amp;Tareas!D4)</f>
        <v xml:space="preserve">    Estado del arte y brecha (5 ejes; 22 trabajos)</v>
      </c>
      <c r="C7" s="17">
        <f>Tareas!E4</f>
        <v>46308</v>
      </c>
      <c r="D7" s="17">
        <f>Tareas!F4</f>
        <v>46325</v>
      </c>
      <c r="E7" s="16" t="str">
        <f>Tareas!I4</f>
        <v>Listo</v>
      </c>
      <c r="F7" s="18" t="str">
        <f t="shared" ref="F7:Y7" si="2">IF(AND($C7&lt;=F$4+6,$D7&gt;=F$4),$Z7,"")</f>
        <v>L</v>
      </c>
      <c r="G7" s="18" t="str">
        <f t="shared" si="2"/>
        <v>L</v>
      </c>
      <c r="H7" s="18" t="str">
        <f t="shared" si="2"/>
        <v>L</v>
      </c>
      <c r="I7" s="18" t="str">
        <f t="shared" si="2"/>
        <v/>
      </c>
      <c r="J7" s="18" t="str">
        <f t="shared" si="2"/>
        <v/>
      </c>
      <c r="K7" s="18" t="str">
        <f t="shared" si="2"/>
        <v/>
      </c>
      <c r="L7" s="18" t="str">
        <f t="shared" si="2"/>
        <v/>
      </c>
      <c r="M7" s="18" t="str">
        <f t="shared" si="2"/>
        <v/>
      </c>
      <c r="N7" s="18" t="str">
        <f t="shared" si="2"/>
        <v/>
      </c>
      <c r="O7" s="18" t="str">
        <f t="shared" si="2"/>
        <v/>
      </c>
      <c r="P7" s="18" t="str">
        <f t="shared" si="2"/>
        <v/>
      </c>
      <c r="Q7" s="18" t="str">
        <f t="shared" si="2"/>
        <v/>
      </c>
      <c r="R7" s="18" t="str">
        <f t="shared" si="2"/>
        <v/>
      </c>
      <c r="S7" s="18" t="str">
        <f t="shared" si="2"/>
        <v/>
      </c>
      <c r="T7" s="18" t="str">
        <f t="shared" si="2"/>
        <v/>
      </c>
      <c r="U7" s="18" t="str">
        <f t="shared" si="2"/>
        <v/>
      </c>
      <c r="V7" s="18" t="str">
        <f t="shared" si="2"/>
        <v/>
      </c>
      <c r="W7" s="18" t="str">
        <f t="shared" si="2"/>
        <v/>
      </c>
      <c r="X7" s="18" t="str">
        <f t="shared" si="2"/>
        <v/>
      </c>
      <c r="Y7" s="18" t="str">
        <f t="shared" si="2"/>
        <v/>
      </c>
      <c r="Z7" t="str">
        <f>IF(ISNUMBER(SEARCH("hito",Tareas!J4)),"H",IF(Tareas!C4="Épica","E",IF(Tareas!I4="Listo","L","T")))</f>
        <v>L</v>
      </c>
    </row>
    <row r="8" spans="1:26" x14ac:dyDescent="0.3">
      <c r="A8" s="16">
        <f>Tareas!A5</f>
        <v>4</v>
      </c>
      <c r="B8" s="16" t="str">
        <f>IF(Tareas!C5="Épica",Tareas!D5,"    "&amp;Tareas!D5)</f>
        <v xml:space="preserve">    Cifras del sector educativo con fecha de corte</v>
      </c>
      <c r="C8" s="17">
        <f>Tareas!E5</f>
        <v>46315</v>
      </c>
      <c r="D8" s="17">
        <f>Tareas!F5</f>
        <v>46325</v>
      </c>
      <c r="E8" s="16" t="str">
        <f>Tareas!I5</f>
        <v>Listo</v>
      </c>
      <c r="F8" s="18" t="str">
        <f t="shared" ref="F8:Y8" si="3">IF(AND($C8&lt;=F$4+6,$D8&gt;=F$4),$Z8,"")</f>
        <v/>
      </c>
      <c r="G8" s="18" t="str">
        <f t="shared" si="3"/>
        <v>L</v>
      </c>
      <c r="H8" s="18" t="str">
        <f t="shared" si="3"/>
        <v>L</v>
      </c>
      <c r="I8" s="18" t="str">
        <f t="shared" si="3"/>
        <v/>
      </c>
      <c r="J8" s="18" t="str">
        <f t="shared" si="3"/>
        <v/>
      </c>
      <c r="K8" s="18" t="str">
        <f t="shared" si="3"/>
        <v/>
      </c>
      <c r="L8" s="18" t="str">
        <f t="shared" si="3"/>
        <v/>
      </c>
      <c r="M8" s="18" t="str">
        <f t="shared" si="3"/>
        <v/>
      </c>
      <c r="N8" s="18" t="str">
        <f t="shared" si="3"/>
        <v/>
      </c>
      <c r="O8" s="18" t="str">
        <f t="shared" si="3"/>
        <v/>
      </c>
      <c r="P8" s="18" t="str">
        <f t="shared" si="3"/>
        <v/>
      </c>
      <c r="Q8" s="18" t="str">
        <f t="shared" si="3"/>
        <v/>
      </c>
      <c r="R8" s="18" t="str">
        <f t="shared" si="3"/>
        <v/>
      </c>
      <c r="S8" s="18" t="str">
        <f t="shared" si="3"/>
        <v/>
      </c>
      <c r="T8" s="18" t="str">
        <f t="shared" si="3"/>
        <v/>
      </c>
      <c r="U8" s="18" t="str">
        <f t="shared" si="3"/>
        <v/>
      </c>
      <c r="V8" s="18" t="str">
        <f t="shared" si="3"/>
        <v/>
      </c>
      <c r="W8" s="18" t="str">
        <f t="shared" si="3"/>
        <v/>
      </c>
      <c r="X8" s="18" t="str">
        <f t="shared" si="3"/>
        <v/>
      </c>
      <c r="Y8" s="18" t="str">
        <f t="shared" si="3"/>
        <v/>
      </c>
      <c r="Z8" t="str">
        <f>IF(ISNUMBER(SEARCH("hito",Tareas!J5)),"H",IF(Tareas!C5="Épica","E",IF(Tareas!I5="Listo","L","T")))</f>
        <v>L</v>
      </c>
    </row>
    <row r="9" spans="1:26" x14ac:dyDescent="0.3">
      <c r="A9" s="16">
        <f>Tareas!A6</f>
        <v>5</v>
      </c>
      <c r="B9" s="16" t="str">
        <f>IF(Tareas!C6="Épica",Tareas!D6,"    "&amp;Tareas!D6)</f>
        <v xml:space="preserve">    Fundamentación: términos legales; cómo funciona una ley; cronología; comparativa de 6 países; régimen de vulneraciones</v>
      </c>
      <c r="C9" s="17">
        <f>Tareas!E6</f>
        <v>46315</v>
      </c>
      <c r="D9" s="17">
        <f>Tareas!F6</f>
        <v>46325</v>
      </c>
      <c r="E9" s="16" t="str">
        <f>Tareas!I6</f>
        <v>Listo</v>
      </c>
      <c r="F9" s="18" t="str">
        <f t="shared" ref="F9:Y9" si="4">IF(AND($C9&lt;=F$4+6,$D9&gt;=F$4),$Z9,"")</f>
        <v/>
      </c>
      <c r="G9" s="18" t="str">
        <f t="shared" si="4"/>
        <v>L</v>
      </c>
      <c r="H9" s="18" t="str">
        <f t="shared" si="4"/>
        <v>L</v>
      </c>
      <c r="I9" s="18" t="str">
        <f t="shared" si="4"/>
        <v/>
      </c>
      <c r="J9" s="18" t="str">
        <f t="shared" si="4"/>
        <v/>
      </c>
      <c r="K9" s="18" t="str">
        <f t="shared" si="4"/>
        <v/>
      </c>
      <c r="L9" s="18" t="str">
        <f t="shared" si="4"/>
        <v/>
      </c>
      <c r="M9" s="18" t="str">
        <f t="shared" si="4"/>
        <v/>
      </c>
      <c r="N9" s="18" t="str">
        <f t="shared" si="4"/>
        <v/>
      </c>
      <c r="O9" s="18" t="str">
        <f t="shared" si="4"/>
        <v/>
      </c>
      <c r="P9" s="18" t="str">
        <f t="shared" si="4"/>
        <v/>
      </c>
      <c r="Q9" s="18" t="str">
        <f t="shared" si="4"/>
        <v/>
      </c>
      <c r="R9" s="18" t="str">
        <f t="shared" si="4"/>
        <v/>
      </c>
      <c r="S9" s="18" t="str">
        <f t="shared" si="4"/>
        <v/>
      </c>
      <c r="T9" s="18" t="str">
        <f t="shared" si="4"/>
        <v/>
      </c>
      <c r="U9" s="18" t="str">
        <f t="shared" si="4"/>
        <v/>
      </c>
      <c r="V9" s="18" t="str">
        <f t="shared" si="4"/>
        <v/>
      </c>
      <c r="W9" s="18" t="str">
        <f t="shared" si="4"/>
        <v/>
      </c>
      <c r="X9" s="18" t="str">
        <f t="shared" si="4"/>
        <v/>
      </c>
      <c r="Y9" s="18" t="str">
        <f t="shared" si="4"/>
        <v/>
      </c>
      <c r="Z9" t="str">
        <f>IF(ISNUMBER(SEARCH("hito",Tareas!J6)),"H",IF(Tareas!C6="Épica","E",IF(Tareas!I6="Listo","L","T")))</f>
        <v>L</v>
      </c>
    </row>
    <row r="10" spans="1:26" x14ac:dyDescent="0.3">
      <c r="A10" s="16">
        <f>Tareas!A7</f>
        <v>6</v>
      </c>
      <c r="B10" s="16" t="str">
        <f>IF(Tareas!C7="Épica",Tareas!D7,"    "&amp;Tareas!D7)</f>
        <v xml:space="preserve">    Atender observaciones del tribunal y de la tutora (revisión del 27/10/2026)</v>
      </c>
      <c r="C10" s="17">
        <f>Tareas!E7</f>
        <v>46322</v>
      </c>
      <c r="D10" s="17">
        <f>Tareas!F7</f>
        <v>46325</v>
      </c>
      <c r="E10" s="16" t="str">
        <f>Tareas!I7</f>
        <v>En curso</v>
      </c>
      <c r="F10" s="18" t="str">
        <f t="shared" ref="F10:Y10" si="5">IF(AND($C10&lt;=F$4+6,$D10&gt;=F$4),$Z10,"")</f>
        <v/>
      </c>
      <c r="G10" s="18" t="str">
        <f t="shared" si="5"/>
        <v/>
      </c>
      <c r="H10" s="18" t="str">
        <f t="shared" si="5"/>
        <v>T</v>
      </c>
      <c r="I10" s="18" t="str">
        <f t="shared" si="5"/>
        <v/>
      </c>
      <c r="J10" s="18" t="str">
        <f t="shared" si="5"/>
        <v/>
      </c>
      <c r="K10" s="18" t="str">
        <f t="shared" si="5"/>
        <v/>
      </c>
      <c r="L10" s="18" t="str">
        <f t="shared" si="5"/>
        <v/>
      </c>
      <c r="M10" s="18" t="str">
        <f t="shared" si="5"/>
        <v/>
      </c>
      <c r="N10" s="18" t="str">
        <f t="shared" si="5"/>
        <v/>
      </c>
      <c r="O10" s="18" t="str">
        <f t="shared" si="5"/>
        <v/>
      </c>
      <c r="P10" s="18" t="str">
        <f t="shared" si="5"/>
        <v/>
      </c>
      <c r="Q10" s="18" t="str">
        <f t="shared" si="5"/>
        <v/>
      </c>
      <c r="R10" s="18" t="str">
        <f t="shared" si="5"/>
        <v/>
      </c>
      <c r="S10" s="18" t="str">
        <f t="shared" si="5"/>
        <v/>
      </c>
      <c r="T10" s="18" t="str">
        <f t="shared" si="5"/>
        <v/>
      </c>
      <c r="U10" s="18" t="str">
        <f t="shared" si="5"/>
        <v/>
      </c>
      <c r="V10" s="18" t="str">
        <f t="shared" si="5"/>
        <v/>
      </c>
      <c r="W10" s="18" t="str">
        <f t="shared" si="5"/>
        <v/>
      </c>
      <c r="X10" s="18" t="str">
        <f t="shared" si="5"/>
        <v/>
      </c>
      <c r="Y10" s="18" t="str">
        <f t="shared" si="5"/>
        <v/>
      </c>
      <c r="Z10" t="str">
        <f>IF(ISNUMBER(SEARCH("hito",Tareas!J7)),"H",IF(Tareas!C7="Épica","E",IF(Tareas!I7="Listo","L","T")))</f>
        <v>T</v>
      </c>
    </row>
    <row r="11" spans="1:26" x14ac:dyDescent="0.3">
      <c r="A11" s="16">
        <f>Tareas!A8</f>
        <v>7</v>
      </c>
      <c r="B11" s="16" t="str">
        <f>IF(Tareas!C8="Épica",Tareas!D8,"    "&amp;Tareas!D8)</f>
        <v xml:space="preserve">    Diseño de fases P y 0-4 y equivalencia con ISO/IEC 27035 y NIST SP 800-61r3</v>
      </c>
      <c r="C11" s="17">
        <f>Tareas!E8</f>
        <v>46321</v>
      </c>
      <c r="D11" s="17">
        <f>Tareas!F8</f>
        <v>46332</v>
      </c>
      <c r="E11" s="16" t="str">
        <f>Tareas!I8</f>
        <v>Listo</v>
      </c>
      <c r="F11" s="18" t="str">
        <f t="shared" ref="F11:Y11" si="6">IF(AND($C11&lt;=F$4+6,$D11&gt;=F$4),$Z11,"")</f>
        <v/>
      </c>
      <c r="G11" s="18" t="str">
        <f t="shared" si="6"/>
        <v>L</v>
      </c>
      <c r="H11" s="18" t="str">
        <f t="shared" si="6"/>
        <v>L</v>
      </c>
      <c r="I11" s="18" t="str">
        <f t="shared" si="6"/>
        <v>L</v>
      </c>
      <c r="J11" s="18" t="str">
        <f t="shared" si="6"/>
        <v/>
      </c>
      <c r="K11" s="18" t="str">
        <f t="shared" si="6"/>
        <v/>
      </c>
      <c r="L11" s="18" t="str">
        <f t="shared" si="6"/>
        <v/>
      </c>
      <c r="M11" s="18" t="str">
        <f t="shared" si="6"/>
        <v/>
      </c>
      <c r="N11" s="18" t="str">
        <f t="shared" si="6"/>
        <v/>
      </c>
      <c r="O11" s="18" t="str">
        <f t="shared" si="6"/>
        <v/>
      </c>
      <c r="P11" s="18" t="str">
        <f t="shared" si="6"/>
        <v/>
      </c>
      <c r="Q11" s="18" t="str">
        <f t="shared" si="6"/>
        <v/>
      </c>
      <c r="R11" s="18" t="str">
        <f t="shared" si="6"/>
        <v/>
      </c>
      <c r="S11" s="18" t="str">
        <f t="shared" si="6"/>
        <v/>
      </c>
      <c r="T11" s="18" t="str">
        <f t="shared" si="6"/>
        <v/>
      </c>
      <c r="U11" s="18" t="str">
        <f t="shared" si="6"/>
        <v/>
      </c>
      <c r="V11" s="18" t="str">
        <f t="shared" si="6"/>
        <v/>
      </c>
      <c r="W11" s="18" t="str">
        <f t="shared" si="6"/>
        <v/>
      </c>
      <c r="X11" s="18" t="str">
        <f t="shared" si="6"/>
        <v/>
      </c>
      <c r="Y11" s="18" t="str">
        <f t="shared" si="6"/>
        <v/>
      </c>
      <c r="Z11" t="str">
        <f>IF(ISNUMBER(SEARCH("hito",Tareas!J8)),"H",IF(Tareas!C8="Épica","E",IF(Tareas!I8="Listo","L","T")))</f>
        <v>L</v>
      </c>
    </row>
    <row r="12" spans="1:26" x14ac:dyDescent="0.3">
      <c r="A12" s="16">
        <f>Tareas!A9</f>
        <v>8</v>
      </c>
      <c r="B12" s="16" t="str">
        <f>IF(Tareas!C9="Épica",Tareas!D9,"    "&amp;Tareas!D9)</f>
        <v xml:space="preserve">    Escalas; tabla de decisión; reglas RA-1 a RA-5; fuentes de estimación</v>
      </c>
      <c r="C12" s="17">
        <f>Tareas!E9</f>
        <v>46328</v>
      </c>
      <c r="D12" s="17">
        <f>Tareas!F9</f>
        <v>46339</v>
      </c>
      <c r="E12" s="16" t="str">
        <f>Tareas!I9</f>
        <v>Listo</v>
      </c>
      <c r="F12" s="18" t="str">
        <f t="shared" ref="F12:Y12" si="7">IF(AND($C12&lt;=F$4+6,$D12&gt;=F$4),$Z12,"")</f>
        <v/>
      </c>
      <c r="G12" s="18" t="str">
        <f t="shared" si="7"/>
        <v/>
      </c>
      <c r="H12" s="18" t="str">
        <f t="shared" si="7"/>
        <v>L</v>
      </c>
      <c r="I12" s="18" t="str">
        <f t="shared" si="7"/>
        <v>L</v>
      </c>
      <c r="J12" s="18" t="str">
        <f t="shared" si="7"/>
        <v>L</v>
      </c>
      <c r="K12" s="18" t="str">
        <f t="shared" si="7"/>
        <v/>
      </c>
      <c r="L12" s="18" t="str">
        <f t="shared" si="7"/>
        <v/>
      </c>
      <c r="M12" s="18" t="str">
        <f t="shared" si="7"/>
        <v/>
      </c>
      <c r="N12" s="18" t="str">
        <f t="shared" si="7"/>
        <v/>
      </c>
      <c r="O12" s="18" t="str">
        <f t="shared" si="7"/>
        <v/>
      </c>
      <c r="P12" s="18" t="str">
        <f t="shared" si="7"/>
        <v/>
      </c>
      <c r="Q12" s="18" t="str">
        <f t="shared" si="7"/>
        <v/>
      </c>
      <c r="R12" s="18" t="str">
        <f t="shared" si="7"/>
        <v/>
      </c>
      <c r="S12" s="18" t="str">
        <f t="shared" si="7"/>
        <v/>
      </c>
      <c r="T12" s="18" t="str">
        <f t="shared" si="7"/>
        <v/>
      </c>
      <c r="U12" s="18" t="str">
        <f t="shared" si="7"/>
        <v/>
      </c>
      <c r="V12" s="18" t="str">
        <f t="shared" si="7"/>
        <v/>
      </c>
      <c r="W12" s="18" t="str">
        <f t="shared" si="7"/>
        <v/>
      </c>
      <c r="X12" s="18" t="str">
        <f t="shared" si="7"/>
        <v/>
      </c>
      <c r="Y12" s="18" t="str">
        <f t="shared" si="7"/>
        <v/>
      </c>
      <c r="Z12" t="str">
        <f>IF(ISNUMBER(SEARCH("hito",Tareas!J9)),"H",IF(Tareas!C9="Épica","E",IF(Tareas!I9="Listo","L","T")))</f>
        <v>L</v>
      </c>
    </row>
    <row r="13" spans="1:26" x14ac:dyDescent="0.3">
      <c r="A13" s="16">
        <f>Tareas!A10</f>
        <v>9</v>
      </c>
      <c r="B13" s="16" t="str">
        <f>IF(Tareas!C10="Épica",Tareas!D10,"    "&amp;Tareas!D10)</f>
        <v xml:space="preserve">    Verificar la plantilla de matriz (1 057 fórmulas; casos T-01 a T-06)</v>
      </c>
      <c r="C13" s="17">
        <f>Tareas!E10</f>
        <v>46335</v>
      </c>
      <c r="D13" s="17">
        <f>Tareas!F10</f>
        <v>46342</v>
      </c>
      <c r="E13" s="16" t="str">
        <f>Tareas!I10</f>
        <v>Listo</v>
      </c>
      <c r="F13" s="18" t="str">
        <f t="shared" ref="F13:Y13" si="8">IF(AND($C13&lt;=F$4+6,$D13&gt;=F$4),$Z13,"")</f>
        <v/>
      </c>
      <c r="G13" s="18" t="str">
        <f t="shared" si="8"/>
        <v/>
      </c>
      <c r="H13" s="18" t="str">
        <f t="shared" si="8"/>
        <v/>
      </c>
      <c r="I13" s="18" t="str">
        <f t="shared" si="8"/>
        <v>L</v>
      </c>
      <c r="J13" s="18" t="str">
        <f t="shared" si="8"/>
        <v>L</v>
      </c>
      <c r="K13" s="18" t="str">
        <f t="shared" si="8"/>
        <v/>
      </c>
      <c r="L13" s="18" t="str">
        <f t="shared" si="8"/>
        <v/>
      </c>
      <c r="M13" s="18" t="str">
        <f t="shared" si="8"/>
        <v/>
      </c>
      <c r="N13" s="18" t="str">
        <f t="shared" si="8"/>
        <v/>
      </c>
      <c r="O13" s="18" t="str">
        <f t="shared" si="8"/>
        <v/>
      </c>
      <c r="P13" s="18" t="str">
        <f t="shared" si="8"/>
        <v/>
      </c>
      <c r="Q13" s="18" t="str">
        <f t="shared" si="8"/>
        <v/>
      </c>
      <c r="R13" s="18" t="str">
        <f t="shared" si="8"/>
        <v/>
      </c>
      <c r="S13" s="18" t="str">
        <f t="shared" si="8"/>
        <v/>
      </c>
      <c r="T13" s="18" t="str">
        <f t="shared" si="8"/>
        <v/>
      </c>
      <c r="U13" s="18" t="str">
        <f t="shared" si="8"/>
        <v/>
      </c>
      <c r="V13" s="18" t="str">
        <f t="shared" si="8"/>
        <v/>
      </c>
      <c r="W13" s="18" t="str">
        <f t="shared" si="8"/>
        <v/>
      </c>
      <c r="X13" s="18" t="str">
        <f t="shared" si="8"/>
        <v/>
      </c>
      <c r="Y13" s="18" t="str">
        <f t="shared" si="8"/>
        <v/>
      </c>
      <c r="Z13" t="str">
        <f>IF(ISNUMBER(SEARCH("hito",Tareas!J10)),"H",IF(Tareas!C10="Épica","E",IF(Tareas!I10="Listo","L","T")))</f>
        <v>L</v>
      </c>
    </row>
    <row r="14" spans="1:26" x14ac:dyDescent="0.3">
      <c r="A14" s="19">
        <f>Tareas!A11</f>
        <v>10</v>
      </c>
      <c r="B14" s="19" t="str">
        <f>IF(Tareas!C11="Épica",Tareas!D11,"    "&amp;Tareas!D11)</f>
        <v>E2 Autorización y diagnóstico institucional (OE1)</v>
      </c>
      <c r="C14" s="20">
        <f>Tareas!E11</f>
        <v>46322</v>
      </c>
      <c r="D14" s="20">
        <f>Tareas!F11</f>
        <v>46370</v>
      </c>
      <c r="E14" s="19" t="str">
        <f>Tareas!I11</f>
        <v>Por hacer</v>
      </c>
      <c r="F14" s="18" t="str">
        <f t="shared" ref="F14:Y14" si="9">IF(AND($C14&lt;=F$4+6,$D14&gt;=F$4),$Z14,"")</f>
        <v/>
      </c>
      <c r="G14" s="18" t="str">
        <f t="shared" si="9"/>
        <v/>
      </c>
      <c r="H14" s="18" t="str">
        <f t="shared" si="9"/>
        <v>E</v>
      </c>
      <c r="I14" s="18" t="str">
        <f t="shared" si="9"/>
        <v>E</v>
      </c>
      <c r="J14" s="18" t="str">
        <f t="shared" si="9"/>
        <v>E</v>
      </c>
      <c r="K14" s="18" t="str">
        <f t="shared" si="9"/>
        <v>E</v>
      </c>
      <c r="L14" s="18" t="str">
        <f t="shared" si="9"/>
        <v>E</v>
      </c>
      <c r="M14" s="18" t="str">
        <f t="shared" si="9"/>
        <v>E</v>
      </c>
      <c r="N14" s="18" t="str">
        <f t="shared" si="9"/>
        <v>E</v>
      </c>
      <c r="O14" s="18" t="str">
        <f t="shared" si="9"/>
        <v/>
      </c>
      <c r="P14" s="18" t="str">
        <f t="shared" si="9"/>
        <v/>
      </c>
      <c r="Q14" s="18" t="str">
        <f t="shared" si="9"/>
        <v/>
      </c>
      <c r="R14" s="18" t="str">
        <f t="shared" si="9"/>
        <v/>
      </c>
      <c r="S14" s="18" t="str">
        <f t="shared" si="9"/>
        <v/>
      </c>
      <c r="T14" s="18" t="str">
        <f t="shared" si="9"/>
        <v/>
      </c>
      <c r="U14" s="18" t="str">
        <f t="shared" si="9"/>
        <v/>
      </c>
      <c r="V14" s="18" t="str">
        <f t="shared" si="9"/>
        <v/>
      </c>
      <c r="W14" s="18" t="str">
        <f t="shared" si="9"/>
        <v/>
      </c>
      <c r="X14" s="18" t="str">
        <f t="shared" si="9"/>
        <v/>
      </c>
      <c r="Y14" s="18" t="str">
        <f t="shared" si="9"/>
        <v/>
      </c>
      <c r="Z14" t="str">
        <f>IF(ISNUMBER(SEARCH("hito",Tareas!J11)),"H",IF(Tareas!C11="Épica","E",IF(Tareas!I11="Listo","L","T")))</f>
        <v>E</v>
      </c>
    </row>
    <row r="15" spans="1:26" x14ac:dyDescent="0.3">
      <c r="A15" s="16">
        <f>Tareas!A12</f>
        <v>11</v>
      </c>
      <c r="B15" s="16" t="str">
        <f>IF(Tareas!C12="Épica",Tareas!D12,"    "&amp;Tareas!D12)</f>
        <v xml:space="preserve">    D01 Redactar y entregar la solicitud de autorización formal a la UTI</v>
      </c>
      <c r="C15" s="17">
        <f>Tareas!E12</f>
        <v>46322</v>
      </c>
      <c r="D15" s="17">
        <f>Tareas!F12</f>
        <v>46332</v>
      </c>
      <c r="E15" s="16" t="str">
        <f>Tareas!I12</f>
        <v>Por hacer</v>
      </c>
      <c r="F15" s="18" t="str">
        <f t="shared" ref="F15:Y15" si="10">IF(AND($C15&lt;=F$4+6,$D15&gt;=F$4),$Z15,"")</f>
        <v/>
      </c>
      <c r="G15" s="18" t="str">
        <f t="shared" si="10"/>
        <v/>
      </c>
      <c r="H15" s="18" t="str">
        <f t="shared" si="10"/>
        <v>T</v>
      </c>
      <c r="I15" s="18" t="str">
        <f t="shared" si="10"/>
        <v>T</v>
      </c>
      <c r="J15" s="18" t="str">
        <f t="shared" si="10"/>
        <v/>
      </c>
      <c r="K15" s="18" t="str">
        <f t="shared" si="10"/>
        <v/>
      </c>
      <c r="L15" s="18" t="str">
        <f t="shared" si="10"/>
        <v/>
      </c>
      <c r="M15" s="18" t="str">
        <f t="shared" si="10"/>
        <v/>
      </c>
      <c r="N15" s="18" t="str">
        <f t="shared" si="10"/>
        <v/>
      </c>
      <c r="O15" s="18" t="str">
        <f t="shared" si="10"/>
        <v/>
      </c>
      <c r="P15" s="18" t="str">
        <f t="shared" si="10"/>
        <v/>
      </c>
      <c r="Q15" s="18" t="str">
        <f t="shared" si="10"/>
        <v/>
      </c>
      <c r="R15" s="18" t="str">
        <f t="shared" si="10"/>
        <v/>
      </c>
      <c r="S15" s="18" t="str">
        <f t="shared" si="10"/>
        <v/>
      </c>
      <c r="T15" s="18" t="str">
        <f t="shared" si="10"/>
        <v/>
      </c>
      <c r="U15" s="18" t="str">
        <f t="shared" si="10"/>
        <v/>
      </c>
      <c r="V15" s="18" t="str">
        <f t="shared" si="10"/>
        <v/>
      </c>
      <c r="W15" s="18" t="str">
        <f t="shared" si="10"/>
        <v/>
      </c>
      <c r="X15" s="18" t="str">
        <f t="shared" si="10"/>
        <v/>
      </c>
      <c r="Y15" s="18" t="str">
        <f t="shared" si="10"/>
        <v/>
      </c>
      <c r="Z15" t="str">
        <f>IF(ISNUMBER(SEARCH("hito",Tareas!J12)),"H",IF(Tareas!C12="Épica","E",IF(Tareas!I12="Listo","L","T")))</f>
        <v>T</v>
      </c>
    </row>
    <row r="16" spans="1:26" x14ac:dyDescent="0.3">
      <c r="A16" s="16">
        <f>Tareas!A13</f>
        <v>12</v>
      </c>
      <c r="B16" s="16" t="str">
        <f>IF(Tareas!C13="Épica",Tareas!D13,"    "&amp;Tareas!D13)</f>
        <v xml:space="preserve">    Hito: oficio de autorización recibido</v>
      </c>
      <c r="C16" s="17">
        <f>Tareas!E13</f>
        <v>46346</v>
      </c>
      <c r="D16" s="17">
        <f>Tareas!F13</f>
        <v>46346</v>
      </c>
      <c r="E16" s="16" t="str">
        <f>Tareas!I13</f>
        <v>Por hacer</v>
      </c>
      <c r="F16" s="18" t="str">
        <f t="shared" ref="F16:Y16" si="11">IF(AND($C16&lt;=F$4+6,$D16&gt;=F$4),$Z16,"")</f>
        <v/>
      </c>
      <c r="G16" s="18" t="str">
        <f t="shared" si="11"/>
        <v/>
      </c>
      <c r="H16" s="18" t="str">
        <f t="shared" si="11"/>
        <v/>
      </c>
      <c r="I16" s="18" t="str">
        <f t="shared" si="11"/>
        <v/>
      </c>
      <c r="J16" s="18" t="str">
        <f t="shared" si="11"/>
        <v/>
      </c>
      <c r="K16" s="18" t="str">
        <f t="shared" si="11"/>
        <v>H</v>
      </c>
      <c r="L16" s="18" t="str">
        <f t="shared" si="11"/>
        <v/>
      </c>
      <c r="M16" s="18" t="str">
        <f t="shared" si="11"/>
        <v/>
      </c>
      <c r="N16" s="18" t="str">
        <f t="shared" si="11"/>
        <v/>
      </c>
      <c r="O16" s="18" t="str">
        <f t="shared" si="11"/>
        <v/>
      </c>
      <c r="P16" s="18" t="str">
        <f t="shared" si="11"/>
        <v/>
      </c>
      <c r="Q16" s="18" t="str">
        <f t="shared" si="11"/>
        <v/>
      </c>
      <c r="R16" s="18" t="str">
        <f t="shared" si="11"/>
        <v/>
      </c>
      <c r="S16" s="18" t="str">
        <f t="shared" si="11"/>
        <v/>
      </c>
      <c r="T16" s="18" t="str">
        <f t="shared" si="11"/>
        <v/>
      </c>
      <c r="U16" s="18" t="str">
        <f t="shared" si="11"/>
        <v/>
      </c>
      <c r="V16" s="18" t="str">
        <f t="shared" si="11"/>
        <v/>
      </c>
      <c r="W16" s="18" t="str">
        <f t="shared" si="11"/>
        <v/>
      </c>
      <c r="X16" s="18" t="str">
        <f t="shared" si="11"/>
        <v/>
      </c>
      <c r="Y16" s="18" t="str">
        <f t="shared" si="11"/>
        <v/>
      </c>
      <c r="Z16" t="str">
        <f>IF(ISNUMBER(SEARCH("hito",Tareas!J13)),"H",IF(Tareas!C13="Épica","E",IF(Tareas!I13="Listo","L","T")))</f>
        <v>H</v>
      </c>
    </row>
    <row r="17" spans="1:26" x14ac:dyDescent="0.3">
      <c r="A17" s="16">
        <f>Tareas!A14</f>
        <v>13</v>
      </c>
      <c r="B17" s="16" t="str">
        <f>IF(Tareas!C14="Épica",Tareas!D14,"    "&amp;Tareas!D14)</f>
        <v xml:space="preserve">    Identificar enlace institucional e informantes por subproceso (códigos E01...)</v>
      </c>
      <c r="C17" s="17">
        <f>Tareas!E14</f>
        <v>46342</v>
      </c>
      <c r="D17" s="17">
        <f>Tareas!F14</f>
        <v>46346</v>
      </c>
      <c r="E17" s="16" t="str">
        <f>Tareas!I14</f>
        <v>Por hacer</v>
      </c>
      <c r="F17" s="18" t="str">
        <f t="shared" ref="F17:Y17" si="12">IF(AND($C17&lt;=F$4+6,$D17&gt;=F$4),$Z17,"")</f>
        <v/>
      </c>
      <c r="G17" s="18" t="str">
        <f t="shared" si="12"/>
        <v/>
      </c>
      <c r="H17" s="18" t="str">
        <f t="shared" si="12"/>
        <v/>
      </c>
      <c r="I17" s="18" t="str">
        <f t="shared" si="12"/>
        <v/>
      </c>
      <c r="J17" s="18" t="str">
        <f t="shared" si="12"/>
        <v>T</v>
      </c>
      <c r="K17" s="18" t="str">
        <f t="shared" si="12"/>
        <v>T</v>
      </c>
      <c r="L17" s="18" t="str">
        <f t="shared" si="12"/>
        <v/>
      </c>
      <c r="M17" s="18" t="str">
        <f t="shared" si="12"/>
        <v/>
      </c>
      <c r="N17" s="18" t="str">
        <f t="shared" si="12"/>
        <v/>
      </c>
      <c r="O17" s="18" t="str">
        <f t="shared" si="12"/>
        <v/>
      </c>
      <c r="P17" s="18" t="str">
        <f t="shared" si="12"/>
        <v/>
      </c>
      <c r="Q17" s="18" t="str">
        <f t="shared" si="12"/>
        <v/>
      </c>
      <c r="R17" s="18" t="str">
        <f t="shared" si="12"/>
        <v/>
      </c>
      <c r="S17" s="18" t="str">
        <f t="shared" si="12"/>
        <v/>
      </c>
      <c r="T17" s="18" t="str">
        <f t="shared" si="12"/>
        <v/>
      </c>
      <c r="U17" s="18" t="str">
        <f t="shared" si="12"/>
        <v/>
      </c>
      <c r="V17" s="18" t="str">
        <f t="shared" si="12"/>
        <v/>
      </c>
      <c r="W17" s="18" t="str">
        <f t="shared" si="12"/>
        <v/>
      </c>
      <c r="X17" s="18" t="str">
        <f t="shared" si="12"/>
        <v/>
      </c>
      <c r="Y17" s="18" t="str">
        <f t="shared" si="12"/>
        <v/>
      </c>
      <c r="Z17" t="str">
        <f>IF(ISNUMBER(SEARCH("hito",Tareas!J14)),"H",IF(Tareas!C14="Épica","E",IF(Tareas!I14="Listo","L","T")))</f>
        <v>T</v>
      </c>
    </row>
    <row r="18" spans="1:26" x14ac:dyDescent="0.3">
      <c r="A18" s="16">
        <f>Tareas!A15</f>
        <v>14</v>
      </c>
      <c r="B18" s="16" t="str">
        <f>IF(Tareas!C15="Épica",Tareas!D15,"    "&amp;Tareas!D15)</f>
        <v xml:space="preserve">    D04-D05 Solicitar datos agregados y documentos vigentes</v>
      </c>
      <c r="C18" s="17">
        <f>Tareas!E15</f>
        <v>46349</v>
      </c>
      <c r="D18" s="17">
        <f>Tareas!F15</f>
        <v>46353</v>
      </c>
      <c r="E18" s="16" t="str">
        <f>Tareas!I15</f>
        <v>Por hacer</v>
      </c>
      <c r="F18" s="18" t="str">
        <f t="shared" ref="F18:Y18" si="13">IF(AND($C18&lt;=F$4+6,$D18&gt;=F$4),$Z18,"")</f>
        <v/>
      </c>
      <c r="G18" s="18" t="str">
        <f t="shared" si="13"/>
        <v/>
      </c>
      <c r="H18" s="18" t="str">
        <f t="shared" si="13"/>
        <v/>
      </c>
      <c r="I18" s="18" t="str">
        <f t="shared" si="13"/>
        <v/>
      </c>
      <c r="J18" s="18" t="str">
        <f t="shared" si="13"/>
        <v/>
      </c>
      <c r="K18" s="18" t="str">
        <f t="shared" si="13"/>
        <v>T</v>
      </c>
      <c r="L18" s="18" t="str">
        <f t="shared" si="13"/>
        <v>T</v>
      </c>
      <c r="M18" s="18" t="str">
        <f t="shared" si="13"/>
        <v/>
      </c>
      <c r="N18" s="18" t="str">
        <f t="shared" si="13"/>
        <v/>
      </c>
      <c r="O18" s="18" t="str">
        <f t="shared" si="13"/>
        <v/>
      </c>
      <c r="P18" s="18" t="str">
        <f t="shared" si="13"/>
        <v/>
      </c>
      <c r="Q18" s="18" t="str">
        <f t="shared" si="13"/>
        <v/>
      </c>
      <c r="R18" s="18" t="str">
        <f t="shared" si="13"/>
        <v/>
      </c>
      <c r="S18" s="18" t="str">
        <f t="shared" si="13"/>
        <v/>
      </c>
      <c r="T18" s="18" t="str">
        <f t="shared" si="13"/>
        <v/>
      </c>
      <c r="U18" s="18" t="str">
        <f t="shared" si="13"/>
        <v/>
      </c>
      <c r="V18" s="18" t="str">
        <f t="shared" si="13"/>
        <v/>
      </c>
      <c r="W18" s="18" t="str">
        <f t="shared" si="13"/>
        <v/>
      </c>
      <c r="X18" s="18" t="str">
        <f t="shared" si="13"/>
        <v/>
      </c>
      <c r="Y18" s="18" t="str">
        <f t="shared" si="13"/>
        <v/>
      </c>
      <c r="Z18" t="str">
        <f>IF(ISNUMBER(SEARCH("hito",Tareas!J15)),"H",IF(Tareas!C15="Épica","E",IF(Tareas!I15="Listo","L","T")))</f>
        <v>T</v>
      </c>
    </row>
    <row r="19" spans="1:26" x14ac:dyDescent="0.3">
      <c r="A19" s="16">
        <f>Tareas!A16</f>
        <v>15</v>
      </c>
      <c r="B19" s="16" t="str">
        <f>IF(Tareas!C16="Épica",Tareas!D16,"    "&amp;Tareas!D16)</f>
        <v xml:space="preserve">    D03 Entrevistas semiestructuradas SP1-SP6 (Anexo B)</v>
      </c>
      <c r="C19" s="17">
        <f>Tareas!E16</f>
        <v>46349</v>
      </c>
      <c r="D19" s="17">
        <f>Tareas!F16</f>
        <v>46360</v>
      </c>
      <c r="E19" s="16" t="str">
        <f>Tareas!I16</f>
        <v>Por hacer</v>
      </c>
      <c r="F19" s="18" t="str">
        <f t="shared" ref="F19:Y19" si="14">IF(AND($C19&lt;=F$4+6,$D19&gt;=F$4),$Z19,"")</f>
        <v/>
      </c>
      <c r="G19" s="18" t="str">
        <f t="shared" si="14"/>
        <v/>
      </c>
      <c r="H19" s="18" t="str">
        <f t="shared" si="14"/>
        <v/>
      </c>
      <c r="I19" s="18" t="str">
        <f t="shared" si="14"/>
        <v/>
      </c>
      <c r="J19" s="18" t="str">
        <f t="shared" si="14"/>
        <v/>
      </c>
      <c r="K19" s="18" t="str">
        <f t="shared" si="14"/>
        <v>T</v>
      </c>
      <c r="L19" s="18" t="str">
        <f t="shared" si="14"/>
        <v>T</v>
      </c>
      <c r="M19" s="18" t="str">
        <f t="shared" si="14"/>
        <v>T</v>
      </c>
      <c r="N19" s="18" t="str">
        <f t="shared" si="14"/>
        <v/>
      </c>
      <c r="O19" s="18" t="str">
        <f t="shared" si="14"/>
        <v/>
      </c>
      <c r="P19" s="18" t="str">
        <f t="shared" si="14"/>
        <v/>
      </c>
      <c r="Q19" s="18" t="str">
        <f t="shared" si="14"/>
        <v/>
      </c>
      <c r="R19" s="18" t="str">
        <f t="shared" si="14"/>
        <v/>
      </c>
      <c r="S19" s="18" t="str">
        <f t="shared" si="14"/>
        <v/>
      </c>
      <c r="T19" s="18" t="str">
        <f t="shared" si="14"/>
        <v/>
      </c>
      <c r="U19" s="18" t="str">
        <f t="shared" si="14"/>
        <v/>
      </c>
      <c r="V19" s="18" t="str">
        <f t="shared" si="14"/>
        <v/>
      </c>
      <c r="W19" s="18" t="str">
        <f t="shared" si="14"/>
        <v/>
      </c>
      <c r="X19" s="18" t="str">
        <f t="shared" si="14"/>
        <v/>
      </c>
      <c r="Y19" s="18" t="str">
        <f t="shared" si="14"/>
        <v/>
      </c>
      <c r="Z19" t="str">
        <f>IF(ISNUMBER(SEARCH("hito",Tareas!J16)),"H",IF(Tareas!C16="Épica","E",IF(Tareas!I16="Listo","L","T")))</f>
        <v>T</v>
      </c>
    </row>
    <row r="20" spans="1:26" x14ac:dyDescent="0.3">
      <c r="A20" s="16">
        <f>Tareas!A17</f>
        <v>16</v>
      </c>
      <c r="B20" s="16" t="str">
        <f>IF(Tareas!C17="Épica",Tareas!D17,"    "&amp;Tareas!D17)</f>
        <v xml:space="preserve">    D07 Aplicar el cuestionario de madurez (Anexo C)</v>
      </c>
      <c r="C20" s="17">
        <f>Tareas!E17</f>
        <v>46356</v>
      </c>
      <c r="D20" s="17">
        <f>Tareas!F17</f>
        <v>46360</v>
      </c>
      <c r="E20" s="16" t="str">
        <f>Tareas!I17</f>
        <v>Por hacer</v>
      </c>
      <c r="F20" s="18" t="str">
        <f t="shared" ref="F20:Y20" si="15">IF(AND($C20&lt;=F$4+6,$D20&gt;=F$4),$Z20,"")</f>
        <v/>
      </c>
      <c r="G20" s="18" t="str">
        <f t="shared" si="15"/>
        <v/>
      </c>
      <c r="H20" s="18" t="str">
        <f t="shared" si="15"/>
        <v/>
      </c>
      <c r="I20" s="18" t="str">
        <f t="shared" si="15"/>
        <v/>
      </c>
      <c r="J20" s="18" t="str">
        <f t="shared" si="15"/>
        <v/>
      </c>
      <c r="K20" s="18" t="str">
        <f t="shared" si="15"/>
        <v/>
      </c>
      <c r="L20" s="18" t="str">
        <f t="shared" si="15"/>
        <v>T</v>
      </c>
      <c r="M20" s="18" t="str">
        <f t="shared" si="15"/>
        <v>T</v>
      </c>
      <c r="N20" s="18" t="str">
        <f t="shared" si="15"/>
        <v/>
      </c>
      <c r="O20" s="18" t="str">
        <f t="shared" si="15"/>
        <v/>
      </c>
      <c r="P20" s="18" t="str">
        <f t="shared" si="15"/>
        <v/>
      </c>
      <c r="Q20" s="18" t="str">
        <f t="shared" si="15"/>
        <v/>
      </c>
      <c r="R20" s="18" t="str">
        <f t="shared" si="15"/>
        <v/>
      </c>
      <c r="S20" s="18" t="str">
        <f t="shared" si="15"/>
        <v/>
      </c>
      <c r="T20" s="18" t="str">
        <f t="shared" si="15"/>
        <v/>
      </c>
      <c r="U20" s="18" t="str">
        <f t="shared" si="15"/>
        <v/>
      </c>
      <c r="V20" s="18" t="str">
        <f t="shared" si="15"/>
        <v/>
      </c>
      <c r="W20" s="18" t="str">
        <f t="shared" si="15"/>
        <v/>
      </c>
      <c r="X20" s="18" t="str">
        <f t="shared" si="15"/>
        <v/>
      </c>
      <c r="Y20" s="18" t="str">
        <f t="shared" si="15"/>
        <v/>
      </c>
      <c r="Z20" t="str">
        <f>IF(ISNUMBER(SEARCH("hito",Tareas!J17)),"H",IF(Tareas!C17="Épica","E",IF(Tareas!I17="Listo","L","T")))</f>
        <v>T</v>
      </c>
    </row>
    <row r="21" spans="1:26" x14ac:dyDescent="0.3">
      <c r="A21" s="16">
        <f>Tareas!A18</f>
        <v>17</v>
      </c>
      <c r="B21" s="16" t="str">
        <f>IF(Tareas!C18="Épica",Tareas!D18,"    "&amp;Tareas!D18)</f>
        <v xml:space="preserve">    D06 D08 D09 Auditoría de práctica efectiva; historial de incidentes; DPD</v>
      </c>
      <c r="C21" s="17">
        <f>Tareas!E18</f>
        <v>46356</v>
      </c>
      <c r="D21" s="17">
        <f>Tareas!F18</f>
        <v>46365</v>
      </c>
      <c r="E21" s="16" t="str">
        <f>Tareas!I18</f>
        <v>Por hacer</v>
      </c>
      <c r="F21" s="18" t="str">
        <f t="shared" ref="F21:Y21" si="16">IF(AND($C21&lt;=F$4+6,$D21&gt;=F$4),$Z21,"")</f>
        <v/>
      </c>
      <c r="G21" s="18" t="str">
        <f t="shared" si="16"/>
        <v/>
      </c>
      <c r="H21" s="18" t="str">
        <f t="shared" si="16"/>
        <v/>
      </c>
      <c r="I21" s="18" t="str">
        <f t="shared" si="16"/>
        <v/>
      </c>
      <c r="J21" s="18" t="str">
        <f t="shared" si="16"/>
        <v/>
      </c>
      <c r="K21" s="18" t="str">
        <f t="shared" si="16"/>
        <v/>
      </c>
      <c r="L21" s="18" t="str">
        <f t="shared" si="16"/>
        <v>T</v>
      </c>
      <c r="M21" s="18" t="str">
        <f t="shared" si="16"/>
        <v>T</v>
      </c>
      <c r="N21" s="18" t="str">
        <f t="shared" si="16"/>
        <v>T</v>
      </c>
      <c r="O21" s="18" t="str">
        <f t="shared" si="16"/>
        <v/>
      </c>
      <c r="P21" s="18" t="str">
        <f t="shared" si="16"/>
        <v/>
      </c>
      <c r="Q21" s="18" t="str">
        <f t="shared" si="16"/>
        <v/>
      </c>
      <c r="R21" s="18" t="str">
        <f t="shared" si="16"/>
        <v/>
      </c>
      <c r="S21" s="18" t="str">
        <f t="shared" si="16"/>
        <v/>
      </c>
      <c r="T21" s="18" t="str">
        <f t="shared" si="16"/>
        <v/>
      </c>
      <c r="U21" s="18" t="str">
        <f t="shared" si="16"/>
        <v/>
      </c>
      <c r="V21" s="18" t="str">
        <f t="shared" si="16"/>
        <v/>
      </c>
      <c r="W21" s="18" t="str">
        <f t="shared" si="16"/>
        <v/>
      </c>
      <c r="X21" s="18" t="str">
        <f t="shared" si="16"/>
        <v/>
      </c>
      <c r="Y21" s="18" t="str">
        <f t="shared" si="16"/>
        <v/>
      </c>
      <c r="Z21" t="str">
        <f>IF(ISNUMBER(SEARCH("hito",Tareas!J18)),"H",IF(Tareas!C18="Épica","E",IF(Tareas!I18="Listo","L","T")))</f>
        <v>T</v>
      </c>
    </row>
    <row r="22" spans="1:26" x14ac:dyDescent="0.3">
      <c r="A22" s="16">
        <f>Tareas!A19</f>
        <v>18</v>
      </c>
      <c r="B22" s="16" t="str">
        <f>IF(Tareas!C19="Épica",Tareas!D19,"    "&amp;Tareas!D19)</f>
        <v xml:space="preserve">    Informe de diagnóstico; RAT y dictamen de gran escala</v>
      </c>
      <c r="C22" s="17">
        <f>Tareas!E19</f>
        <v>46363</v>
      </c>
      <c r="D22" s="17">
        <f>Tareas!F19</f>
        <v>46370</v>
      </c>
      <c r="E22" s="16" t="str">
        <f>Tareas!I19</f>
        <v>Por hacer</v>
      </c>
      <c r="F22" s="18" t="str">
        <f t="shared" ref="F22:Y22" si="17">IF(AND($C22&lt;=F$4+6,$D22&gt;=F$4),$Z22,"")</f>
        <v/>
      </c>
      <c r="G22" s="18" t="str">
        <f t="shared" si="17"/>
        <v/>
      </c>
      <c r="H22" s="18" t="str">
        <f t="shared" si="17"/>
        <v/>
      </c>
      <c r="I22" s="18" t="str">
        <f t="shared" si="17"/>
        <v/>
      </c>
      <c r="J22" s="18" t="str">
        <f t="shared" si="17"/>
        <v/>
      </c>
      <c r="K22" s="18" t="str">
        <f t="shared" si="17"/>
        <v/>
      </c>
      <c r="L22" s="18" t="str">
        <f t="shared" si="17"/>
        <v/>
      </c>
      <c r="M22" s="18" t="str">
        <f t="shared" si="17"/>
        <v>T</v>
      </c>
      <c r="N22" s="18" t="str">
        <f t="shared" si="17"/>
        <v>T</v>
      </c>
      <c r="O22" s="18" t="str">
        <f t="shared" si="17"/>
        <v/>
      </c>
      <c r="P22" s="18" t="str">
        <f t="shared" si="17"/>
        <v/>
      </c>
      <c r="Q22" s="18" t="str">
        <f t="shared" si="17"/>
        <v/>
      </c>
      <c r="R22" s="18" t="str">
        <f t="shared" si="17"/>
        <v/>
      </c>
      <c r="S22" s="18" t="str">
        <f t="shared" si="17"/>
        <v/>
      </c>
      <c r="T22" s="18" t="str">
        <f t="shared" si="17"/>
        <v/>
      </c>
      <c r="U22" s="18" t="str">
        <f t="shared" si="17"/>
        <v/>
      </c>
      <c r="V22" s="18" t="str">
        <f t="shared" si="17"/>
        <v/>
      </c>
      <c r="W22" s="18" t="str">
        <f t="shared" si="17"/>
        <v/>
      </c>
      <c r="X22" s="18" t="str">
        <f t="shared" si="17"/>
        <v/>
      </c>
      <c r="Y22" s="18" t="str">
        <f t="shared" si="17"/>
        <v/>
      </c>
      <c r="Z22" t="str">
        <f>IF(ISNUMBER(SEARCH("hito",Tareas!J19)),"H",IF(Tareas!C19="Épica","E",IF(Tareas!I19="Listo","L","T")))</f>
        <v>T</v>
      </c>
    </row>
    <row r="23" spans="1:26" x14ac:dyDescent="0.3">
      <c r="A23" s="19">
        <f>Tareas!A20</f>
        <v>19</v>
      </c>
      <c r="B23" s="19" t="str">
        <f>IF(Tareas!C20="Épica",Tareas!D20,"    "&amp;Tareas!D20)</f>
        <v>E3 Implementación de la metodología en la UTI (OE3)</v>
      </c>
      <c r="C23" s="20">
        <f>Tareas!E20</f>
        <v>46350</v>
      </c>
      <c r="D23" s="20">
        <f>Tareas!F20</f>
        <v>46405</v>
      </c>
      <c r="E23" s="19" t="str">
        <f>Tareas!I20</f>
        <v>Por hacer</v>
      </c>
      <c r="F23" s="18" t="str">
        <f t="shared" ref="F23:Y23" si="18">IF(AND($C23&lt;=F$4+6,$D23&gt;=F$4),$Z23,"")</f>
        <v/>
      </c>
      <c r="G23" s="18" t="str">
        <f t="shared" si="18"/>
        <v/>
      </c>
      <c r="H23" s="18" t="str">
        <f t="shared" si="18"/>
        <v/>
      </c>
      <c r="I23" s="18" t="str">
        <f t="shared" si="18"/>
        <v/>
      </c>
      <c r="J23" s="18" t="str">
        <f t="shared" si="18"/>
        <v/>
      </c>
      <c r="K23" s="18" t="str">
        <f t="shared" si="18"/>
        <v/>
      </c>
      <c r="L23" s="18" t="str">
        <f t="shared" si="18"/>
        <v>E</v>
      </c>
      <c r="M23" s="18" t="str">
        <f t="shared" si="18"/>
        <v>E</v>
      </c>
      <c r="N23" s="18" t="str">
        <f t="shared" si="18"/>
        <v>E</v>
      </c>
      <c r="O23" s="18" t="str">
        <f t="shared" si="18"/>
        <v>E</v>
      </c>
      <c r="P23" s="18" t="str">
        <f t="shared" si="18"/>
        <v>E</v>
      </c>
      <c r="Q23" s="18" t="str">
        <f t="shared" si="18"/>
        <v>E</v>
      </c>
      <c r="R23" s="18" t="str">
        <f t="shared" si="18"/>
        <v>E</v>
      </c>
      <c r="S23" s="18" t="str">
        <f t="shared" si="18"/>
        <v>E</v>
      </c>
      <c r="T23" s="18" t="str">
        <f t="shared" si="18"/>
        <v/>
      </c>
      <c r="U23" s="18" t="str">
        <f t="shared" si="18"/>
        <v/>
      </c>
      <c r="V23" s="18" t="str">
        <f t="shared" si="18"/>
        <v/>
      </c>
      <c r="W23" s="18" t="str">
        <f t="shared" si="18"/>
        <v/>
      </c>
      <c r="X23" s="18" t="str">
        <f t="shared" si="18"/>
        <v/>
      </c>
      <c r="Y23" s="18" t="str">
        <f t="shared" si="18"/>
        <v/>
      </c>
      <c r="Z23" t="str">
        <f>IF(ISNUMBER(SEARCH("hito",Tareas!J20)),"H",IF(Tareas!C20="Épica","E",IF(Tareas!I20="Listo","L","T")))</f>
        <v>E</v>
      </c>
    </row>
    <row r="24" spans="1:26" x14ac:dyDescent="0.3">
      <c r="A24" s="16">
        <f>Tareas!A21</f>
        <v>20</v>
      </c>
      <c r="B24" s="16" t="str">
        <f>IF(Tareas!C21="Épica",Tareas!D21,"    "&amp;Tareas!D21)</f>
        <v xml:space="preserve">    D10 Convocar al panel (7-8 candidatos) y aplicar la autoevaluación de competencia K</v>
      </c>
      <c r="C24" s="17">
        <f>Tareas!E21</f>
        <v>46350</v>
      </c>
      <c r="D24" s="17">
        <f>Tareas!F21</f>
        <v>46360</v>
      </c>
      <c r="E24" s="16" t="str">
        <f>Tareas!I21</f>
        <v>Por hacer</v>
      </c>
      <c r="F24" s="18" t="str">
        <f t="shared" ref="F24:Y24" si="19">IF(AND($C24&lt;=F$4+6,$D24&gt;=F$4),$Z24,"")</f>
        <v/>
      </c>
      <c r="G24" s="18" t="str">
        <f t="shared" si="19"/>
        <v/>
      </c>
      <c r="H24" s="18" t="str">
        <f t="shared" si="19"/>
        <v/>
      </c>
      <c r="I24" s="18" t="str">
        <f t="shared" si="19"/>
        <v/>
      </c>
      <c r="J24" s="18" t="str">
        <f t="shared" si="19"/>
        <v/>
      </c>
      <c r="K24" s="18" t="str">
        <f t="shared" si="19"/>
        <v/>
      </c>
      <c r="L24" s="18" t="str">
        <f t="shared" si="19"/>
        <v>T</v>
      </c>
      <c r="M24" s="18" t="str">
        <f t="shared" si="19"/>
        <v>T</v>
      </c>
      <c r="N24" s="18" t="str">
        <f t="shared" si="19"/>
        <v/>
      </c>
      <c r="O24" s="18" t="str">
        <f t="shared" si="19"/>
        <v/>
      </c>
      <c r="P24" s="18" t="str">
        <f t="shared" si="19"/>
        <v/>
      </c>
      <c r="Q24" s="18" t="str">
        <f t="shared" si="19"/>
        <v/>
      </c>
      <c r="R24" s="18" t="str">
        <f t="shared" si="19"/>
        <v/>
      </c>
      <c r="S24" s="18" t="str">
        <f t="shared" si="19"/>
        <v/>
      </c>
      <c r="T24" s="18" t="str">
        <f t="shared" si="19"/>
        <v/>
      </c>
      <c r="U24" s="18" t="str">
        <f t="shared" si="19"/>
        <v/>
      </c>
      <c r="V24" s="18" t="str">
        <f t="shared" si="19"/>
        <v/>
      </c>
      <c r="W24" s="18" t="str">
        <f t="shared" si="19"/>
        <v/>
      </c>
      <c r="X24" s="18" t="str">
        <f t="shared" si="19"/>
        <v/>
      </c>
      <c r="Y24" s="18" t="str">
        <f t="shared" si="19"/>
        <v/>
      </c>
      <c r="Z24" t="str">
        <f>IF(ISNUMBER(SEARCH("hito",Tareas!J21)),"H",IF(Tareas!C21="Épica","E",IF(Tareas!I21="Listo","L","T")))</f>
        <v>T</v>
      </c>
    </row>
    <row r="25" spans="1:26" x14ac:dyDescent="0.3">
      <c r="A25" s="16">
        <f>Tareas!A22</f>
        <v>21</v>
      </c>
      <c r="B25" s="16" t="str">
        <f>IF(Tareas!C22="Épica",Tareas!D22,"    "&amp;Tareas!D22)</f>
        <v xml:space="preserve">    Calibración del panel con el puntaje de Brier (Anexo E)</v>
      </c>
      <c r="C25" s="17">
        <f>Tareas!E22</f>
        <v>46363</v>
      </c>
      <c r="D25" s="17">
        <f>Tareas!F22</f>
        <v>46367</v>
      </c>
      <c r="E25" s="16" t="str">
        <f>Tareas!I22</f>
        <v>Por hacer</v>
      </c>
      <c r="F25" s="18" t="str">
        <f t="shared" ref="F25:Y25" si="20">IF(AND($C25&lt;=F$4+6,$D25&gt;=F$4),$Z25,"")</f>
        <v/>
      </c>
      <c r="G25" s="18" t="str">
        <f t="shared" si="20"/>
        <v/>
      </c>
      <c r="H25" s="18" t="str">
        <f t="shared" si="20"/>
        <v/>
      </c>
      <c r="I25" s="18" t="str">
        <f t="shared" si="20"/>
        <v/>
      </c>
      <c r="J25" s="18" t="str">
        <f t="shared" si="20"/>
        <v/>
      </c>
      <c r="K25" s="18" t="str">
        <f t="shared" si="20"/>
        <v/>
      </c>
      <c r="L25" s="18" t="str">
        <f t="shared" si="20"/>
        <v/>
      </c>
      <c r="M25" s="18" t="str">
        <f t="shared" si="20"/>
        <v>T</v>
      </c>
      <c r="N25" s="18" t="str">
        <f t="shared" si="20"/>
        <v>T</v>
      </c>
      <c r="O25" s="18" t="str">
        <f t="shared" si="20"/>
        <v/>
      </c>
      <c r="P25" s="18" t="str">
        <f t="shared" si="20"/>
        <v/>
      </c>
      <c r="Q25" s="18" t="str">
        <f t="shared" si="20"/>
        <v/>
      </c>
      <c r="R25" s="18" t="str">
        <f t="shared" si="20"/>
        <v/>
      </c>
      <c r="S25" s="18" t="str">
        <f t="shared" si="20"/>
        <v/>
      </c>
      <c r="T25" s="18" t="str">
        <f t="shared" si="20"/>
        <v/>
      </c>
      <c r="U25" s="18" t="str">
        <f t="shared" si="20"/>
        <v/>
      </c>
      <c r="V25" s="18" t="str">
        <f t="shared" si="20"/>
        <v/>
      </c>
      <c r="W25" s="18" t="str">
        <f t="shared" si="20"/>
        <v/>
      </c>
      <c r="X25" s="18" t="str">
        <f t="shared" si="20"/>
        <v/>
      </c>
      <c r="Y25" s="18" t="str">
        <f t="shared" si="20"/>
        <v/>
      </c>
      <c r="Z25" t="str">
        <f>IF(ISNUMBER(SEARCH("hito",Tareas!J22)),"H",IF(Tareas!C22="Épica","E",IF(Tareas!I22="Listo","L","T")))</f>
        <v>T</v>
      </c>
    </row>
    <row r="26" spans="1:26" x14ac:dyDescent="0.3">
      <c r="A26" s="16">
        <f>Tareas!A23</f>
        <v>22</v>
      </c>
      <c r="B26" s="16" t="str">
        <f>IF(Tareas!C23="Épica",Tareas!D23,"    "&amp;Tareas!D23)</f>
        <v xml:space="preserve">    Fase 1: confirmar; reformular o descartar escenarios R-01 a R-13</v>
      </c>
      <c r="C26" s="17">
        <f>Tareas!E23</f>
        <v>46366</v>
      </c>
      <c r="D26" s="17">
        <f>Tareas!F23</f>
        <v>46372</v>
      </c>
      <c r="E26" s="16" t="str">
        <f>Tareas!I23</f>
        <v>Por hacer</v>
      </c>
      <c r="F26" s="18" t="str">
        <f t="shared" ref="F26:Y26" si="21">IF(AND($C26&lt;=F$4+6,$D26&gt;=F$4),$Z26,"")</f>
        <v/>
      </c>
      <c r="G26" s="18" t="str">
        <f t="shared" si="21"/>
        <v/>
      </c>
      <c r="H26" s="18" t="str">
        <f t="shared" si="21"/>
        <v/>
      </c>
      <c r="I26" s="18" t="str">
        <f t="shared" si="21"/>
        <v/>
      </c>
      <c r="J26" s="18" t="str">
        <f t="shared" si="21"/>
        <v/>
      </c>
      <c r="K26" s="18" t="str">
        <f t="shared" si="21"/>
        <v/>
      </c>
      <c r="L26" s="18" t="str">
        <f t="shared" si="21"/>
        <v/>
      </c>
      <c r="M26" s="18" t="str">
        <f t="shared" si="21"/>
        <v/>
      </c>
      <c r="N26" s="18" t="str">
        <f t="shared" si="21"/>
        <v>T</v>
      </c>
      <c r="O26" s="18" t="str">
        <f t="shared" si="21"/>
        <v>T</v>
      </c>
      <c r="P26" s="18" t="str">
        <f t="shared" si="21"/>
        <v/>
      </c>
      <c r="Q26" s="18" t="str">
        <f t="shared" si="21"/>
        <v/>
      </c>
      <c r="R26" s="18" t="str">
        <f t="shared" si="21"/>
        <v/>
      </c>
      <c r="S26" s="18" t="str">
        <f t="shared" si="21"/>
        <v/>
      </c>
      <c r="T26" s="18" t="str">
        <f t="shared" si="21"/>
        <v/>
      </c>
      <c r="U26" s="18" t="str">
        <f t="shared" si="21"/>
        <v/>
      </c>
      <c r="V26" s="18" t="str">
        <f t="shared" si="21"/>
        <v/>
      </c>
      <c r="W26" s="18" t="str">
        <f t="shared" si="21"/>
        <v/>
      </c>
      <c r="X26" s="18" t="str">
        <f t="shared" si="21"/>
        <v/>
      </c>
      <c r="Y26" s="18" t="str">
        <f t="shared" si="21"/>
        <v/>
      </c>
      <c r="Z26" t="str">
        <f>IF(ISNUMBER(SEARCH("hito",Tareas!J23)),"H",IF(Tareas!C23="Épica","E",IF(Tareas!I23="Listo","L","T")))</f>
        <v>T</v>
      </c>
    </row>
    <row r="27" spans="1:26" x14ac:dyDescent="0.3">
      <c r="A27" s="16">
        <f>Tareas!A24</f>
        <v>23</v>
      </c>
      <c r="B27" s="16" t="str">
        <f>IF(Tareas!C24="Épica",Tareas!D24,"    "&amp;Tareas!D24)</f>
        <v xml:space="preserve">    Delphi ronda 1 (Anexo D)</v>
      </c>
      <c r="C27" s="17">
        <f>Tareas!E24</f>
        <v>46370</v>
      </c>
      <c r="D27" s="17">
        <f>Tareas!F24</f>
        <v>46374</v>
      </c>
      <c r="E27" s="16" t="str">
        <f>Tareas!I24</f>
        <v>Por hacer</v>
      </c>
      <c r="F27" s="18" t="str">
        <f t="shared" ref="F27:Y27" si="22">IF(AND($C27&lt;=F$4+6,$D27&gt;=F$4),$Z27,"")</f>
        <v/>
      </c>
      <c r="G27" s="18" t="str">
        <f t="shared" si="22"/>
        <v/>
      </c>
      <c r="H27" s="18" t="str">
        <f t="shared" si="22"/>
        <v/>
      </c>
      <c r="I27" s="18" t="str">
        <f t="shared" si="22"/>
        <v/>
      </c>
      <c r="J27" s="18" t="str">
        <f t="shared" si="22"/>
        <v/>
      </c>
      <c r="K27" s="18" t="str">
        <f t="shared" si="22"/>
        <v/>
      </c>
      <c r="L27" s="18" t="str">
        <f t="shared" si="22"/>
        <v/>
      </c>
      <c r="M27" s="18" t="str">
        <f t="shared" si="22"/>
        <v/>
      </c>
      <c r="N27" s="18" t="str">
        <f t="shared" si="22"/>
        <v>T</v>
      </c>
      <c r="O27" s="18" t="str">
        <f t="shared" si="22"/>
        <v>T</v>
      </c>
      <c r="P27" s="18" t="str">
        <f t="shared" si="22"/>
        <v/>
      </c>
      <c r="Q27" s="18" t="str">
        <f t="shared" si="22"/>
        <v/>
      </c>
      <c r="R27" s="18" t="str">
        <f t="shared" si="22"/>
        <v/>
      </c>
      <c r="S27" s="18" t="str">
        <f t="shared" si="22"/>
        <v/>
      </c>
      <c r="T27" s="18" t="str">
        <f t="shared" si="22"/>
        <v/>
      </c>
      <c r="U27" s="18" t="str">
        <f t="shared" si="22"/>
        <v/>
      </c>
      <c r="V27" s="18" t="str">
        <f t="shared" si="22"/>
        <v/>
      </c>
      <c r="W27" s="18" t="str">
        <f t="shared" si="22"/>
        <v/>
      </c>
      <c r="X27" s="18" t="str">
        <f t="shared" si="22"/>
        <v/>
      </c>
      <c r="Y27" s="18" t="str">
        <f t="shared" si="22"/>
        <v/>
      </c>
      <c r="Z27" t="str">
        <f>IF(ISNUMBER(SEARCH("hito",Tareas!J24)),"H",IF(Tareas!C24="Épica","E",IF(Tareas!I24="Listo","L","T")))</f>
        <v>T</v>
      </c>
    </row>
    <row r="28" spans="1:26" x14ac:dyDescent="0.3">
      <c r="A28" s="16">
        <f>Tareas!A25</f>
        <v>24</v>
      </c>
      <c r="B28" s="16" t="str">
        <f>IF(Tareas!C25="Épica",Tareas!D25,"    "&amp;Tareas!D25)</f>
        <v xml:space="preserve">    Delphi ronda 2</v>
      </c>
      <c r="C28" s="17">
        <f>Tareas!E25</f>
        <v>46391</v>
      </c>
      <c r="D28" s="17">
        <f>Tareas!F25</f>
        <v>46395</v>
      </c>
      <c r="E28" s="16" t="str">
        <f>Tareas!I25</f>
        <v>Por hacer</v>
      </c>
      <c r="F28" s="18" t="str">
        <f t="shared" ref="F28:Y28" si="23">IF(AND($C28&lt;=F$4+6,$D28&gt;=F$4),$Z28,"")</f>
        <v/>
      </c>
      <c r="G28" s="18" t="str">
        <f t="shared" si="23"/>
        <v/>
      </c>
      <c r="H28" s="18" t="str">
        <f t="shared" si="23"/>
        <v/>
      </c>
      <c r="I28" s="18" t="str">
        <f t="shared" si="23"/>
        <v/>
      </c>
      <c r="J28" s="18" t="str">
        <f t="shared" si="23"/>
        <v/>
      </c>
      <c r="K28" s="18" t="str">
        <f t="shared" si="23"/>
        <v/>
      </c>
      <c r="L28" s="18" t="str">
        <f t="shared" si="23"/>
        <v/>
      </c>
      <c r="M28" s="18" t="str">
        <f t="shared" si="23"/>
        <v/>
      </c>
      <c r="N28" s="18" t="str">
        <f t="shared" si="23"/>
        <v/>
      </c>
      <c r="O28" s="18" t="str">
        <f t="shared" si="23"/>
        <v/>
      </c>
      <c r="P28" s="18" t="str">
        <f t="shared" si="23"/>
        <v/>
      </c>
      <c r="Q28" s="18" t="str">
        <f t="shared" si="23"/>
        <v>T</v>
      </c>
      <c r="R28" s="18" t="str">
        <f t="shared" si="23"/>
        <v>T</v>
      </c>
      <c r="S28" s="18" t="str">
        <f t="shared" si="23"/>
        <v/>
      </c>
      <c r="T28" s="18" t="str">
        <f t="shared" si="23"/>
        <v/>
      </c>
      <c r="U28" s="18" t="str">
        <f t="shared" si="23"/>
        <v/>
      </c>
      <c r="V28" s="18" t="str">
        <f t="shared" si="23"/>
        <v/>
      </c>
      <c r="W28" s="18" t="str">
        <f t="shared" si="23"/>
        <v/>
      </c>
      <c r="X28" s="18" t="str">
        <f t="shared" si="23"/>
        <v/>
      </c>
      <c r="Y28" s="18" t="str">
        <f t="shared" si="23"/>
        <v/>
      </c>
      <c r="Z28" t="str">
        <f>IF(ISNUMBER(SEARCH("hito",Tareas!J25)),"H",IF(Tareas!C25="Épica","E",IF(Tareas!I25="Listo","L","T")))</f>
        <v>T</v>
      </c>
    </row>
    <row r="29" spans="1:26" x14ac:dyDescent="0.3">
      <c r="A29" s="16">
        <f>Tareas!A26</f>
        <v>25</v>
      </c>
      <c r="B29" s="16" t="str">
        <f>IF(Tareas!C26="Épica",Tareas!D26,"    "&amp;Tareas!D26)</f>
        <v xml:space="preserve">    Delphi ronda 3 (solo escenarios sin consenso)</v>
      </c>
      <c r="C29" s="17">
        <f>Tareas!E26</f>
        <v>46398</v>
      </c>
      <c r="D29" s="17">
        <f>Tareas!F26</f>
        <v>46400</v>
      </c>
      <c r="E29" s="16" t="str">
        <f>Tareas!I26</f>
        <v>Por hacer</v>
      </c>
      <c r="F29" s="18" t="str">
        <f t="shared" ref="F29:Y29" si="24">IF(AND($C29&lt;=F$4+6,$D29&gt;=F$4),$Z29,"")</f>
        <v/>
      </c>
      <c r="G29" s="18" t="str">
        <f t="shared" si="24"/>
        <v/>
      </c>
      <c r="H29" s="18" t="str">
        <f t="shared" si="24"/>
        <v/>
      </c>
      <c r="I29" s="18" t="str">
        <f t="shared" si="24"/>
        <v/>
      </c>
      <c r="J29" s="18" t="str">
        <f t="shared" si="24"/>
        <v/>
      </c>
      <c r="K29" s="18" t="str">
        <f t="shared" si="24"/>
        <v/>
      </c>
      <c r="L29" s="18" t="str">
        <f t="shared" si="24"/>
        <v/>
      </c>
      <c r="M29" s="18" t="str">
        <f t="shared" si="24"/>
        <v/>
      </c>
      <c r="N29" s="18" t="str">
        <f t="shared" si="24"/>
        <v/>
      </c>
      <c r="O29" s="18" t="str">
        <f t="shared" si="24"/>
        <v/>
      </c>
      <c r="P29" s="18" t="str">
        <f t="shared" si="24"/>
        <v/>
      </c>
      <c r="Q29" s="18" t="str">
        <f t="shared" si="24"/>
        <v/>
      </c>
      <c r="R29" s="18" t="str">
        <f t="shared" si="24"/>
        <v>T</v>
      </c>
      <c r="S29" s="18" t="str">
        <f t="shared" si="24"/>
        <v>T</v>
      </c>
      <c r="T29" s="18" t="str">
        <f t="shared" si="24"/>
        <v/>
      </c>
      <c r="U29" s="18" t="str">
        <f t="shared" si="24"/>
        <v/>
      </c>
      <c r="V29" s="18" t="str">
        <f t="shared" si="24"/>
        <v/>
      </c>
      <c r="W29" s="18" t="str">
        <f t="shared" si="24"/>
        <v/>
      </c>
      <c r="X29" s="18" t="str">
        <f t="shared" si="24"/>
        <v/>
      </c>
      <c r="Y29" s="18" t="str">
        <f t="shared" si="24"/>
        <v/>
      </c>
      <c r="Z29" t="str">
        <f>IF(ISNUMBER(SEARCH("hito",Tareas!J26)),"H",IF(Tareas!C26="Épica","E",IF(Tareas!I26="Listo","L","T")))</f>
        <v>T</v>
      </c>
    </row>
    <row r="30" spans="1:26" x14ac:dyDescent="0.3">
      <c r="A30" s="16">
        <f>Tareas!A27</f>
        <v>26</v>
      </c>
      <c r="B30" s="16" t="str">
        <f>IF(Tareas!C27="Épica",Tareas!D27,"    "&amp;Tareas!D27)</f>
        <v xml:space="preserve">    Matriz de riesgo inherente y evaluación de impacto (Fase 2)</v>
      </c>
      <c r="C30" s="17">
        <f>Tareas!E27</f>
        <v>46398</v>
      </c>
      <c r="D30" s="17">
        <f>Tareas!F27</f>
        <v>46402</v>
      </c>
      <c r="E30" s="16" t="str">
        <f>Tareas!I27</f>
        <v>Por hacer</v>
      </c>
      <c r="F30" s="18" t="str">
        <f t="shared" ref="F30:Y30" si="25">IF(AND($C30&lt;=F$4+6,$D30&gt;=F$4),$Z30,"")</f>
        <v/>
      </c>
      <c r="G30" s="18" t="str">
        <f t="shared" si="25"/>
        <v/>
      </c>
      <c r="H30" s="18" t="str">
        <f t="shared" si="25"/>
        <v/>
      </c>
      <c r="I30" s="18" t="str">
        <f t="shared" si="25"/>
        <v/>
      </c>
      <c r="J30" s="18" t="str">
        <f t="shared" si="25"/>
        <v/>
      </c>
      <c r="K30" s="18" t="str">
        <f t="shared" si="25"/>
        <v/>
      </c>
      <c r="L30" s="18" t="str">
        <f t="shared" si="25"/>
        <v/>
      </c>
      <c r="M30" s="18" t="str">
        <f t="shared" si="25"/>
        <v/>
      </c>
      <c r="N30" s="18" t="str">
        <f t="shared" si="25"/>
        <v/>
      </c>
      <c r="O30" s="18" t="str">
        <f t="shared" si="25"/>
        <v/>
      </c>
      <c r="P30" s="18" t="str">
        <f t="shared" si="25"/>
        <v/>
      </c>
      <c r="Q30" s="18" t="str">
        <f t="shared" si="25"/>
        <v/>
      </c>
      <c r="R30" s="18" t="str">
        <f t="shared" si="25"/>
        <v>T</v>
      </c>
      <c r="S30" s="18" t="str">
        <f t="shared" si="25"/>
        <v>T</v>
      </c>
      <c r="T30" s="18" t="str">
        <f t="shared" si="25"/>
        <v/>
      </c>
      <c r="U30" s="18" t="str">
        <f t="shared" si="25"/>
        <v/>
      </c>
      <c r="V30" s="18" t="str">
        <f t="shared" si="25"/>
        <v/>
      </c>
      <c r="W30" s="18" t="str">
        <f t="shared" si="25"/>
        <v/>
      </c>
      <c r="X30" s="18" t="str">
        <f t="shared" si="25"/>
        <v/>
      </c>
      <c r="Y30" s="18" t="str">
        <f t="shared" si="25"/>
        <v/>
      </c>
      <c r="Z30" t="str">
        <f>IF(ISNUMBER(SEARCH("hito",Tareas!J27)),"H",IF(Tareas!C27="Épica","E",IF(Tareas!I27="Listo","L","T")))</f>
        <v>T</v>
      </c>
    </row>
    <row r="31" spans="1:26" x14ac:dyDescent="0.3">
      <c r="A31" s="16">
        <f>Tareas!A28</f>
        <v>27</v>
      </c>
      <c r="B31" s="16" t="str">
        <f>IF(Tareas!C28="Épica",Tareas!D28,"    "&amp;Tareas!D28)</f>
        <v xml:space="preserve">    Plan de tratamiento; riesgo residual y confirmación de la trazabilidad (Fase 3)</v>
      </c>
      <c r="C31" s="17">
        <f>Tareas!E28</f>
        <v>46400</v>
      </c>
      <c r="D31" s="17">
        <f>Tareas!F28</f>
        <v>46405</v>
      </c>
      <c r="E31" s="16" t="str">
        <f>Tareas!I28</f>
        <v>Por hacer</v>
      </c>
      <c r="F31" s="18" t="str">
        <f t="shared" ref="F31:Y31" si="26">IF(AND($C31&lt;=F$4+6,$D31&gt;=F$4),$Z31,"")</f>
        <v/>
      </c>
      <c r="G31" s="18" t="str">
        <f t="shared" si="26"/>
        <v/>
      </c>
      <c r="H31" s="18" t="str">
        <f t="shared" si="26"/>
        <v/>
      </c>
      <c r="I31" s="18" t="str">
        <f t="shared" si="26"/>
        <v/>
      </c>
      <c r="J31" s="18" t="str">
        <f t="shared" si="26"/>
        <v/>
      </c>
      <c r="K31" s="18" t="str">
        <f t="shared" si="26"/>
        <v/>
      </c>
      <c r="L31" s="18" t="str">
        <f t="shared" si="26"/>
        <v/>
      </c>
      <c r="M31" s="18" t="str">
        <f t="shared" si="26"/>
        <v/>
      </c>
      <c r="N31" s="18" t="str">
        <f t="shared" si="26"/>
        <v/>
      </c>
      <c r="O31" s="18" t="str">
        <f t="shared" si="26"/>
        <v/>
      </c>
      <c r="P31" s="18" t="str">
        <f t="shared" si="26"/>
        <v/>
      </c>
      <c r="Q31" s="18" t="str">
        <f t="shared" si="26"/>
        <v/>
      </c>
      <c r="R31" s="18" t="str">
        <f t="shared" si="26"/>
        <v/>
      </c>
      <c r="S31" s="18" t="str">
        <f t="shared" si="26"/>
        <v>T</v>
      </c>
      <c r="T31" s="18" t="str">
        <f t="shared" si="26"/>
        <v/>
      </c>
      <c r="U31" s="18" t="str">
        <f t="shared" si="26"/>
        <v/>
      </c>
      <c r="V31" s="18" t="str">
        <f t="shared" si="26"/>
        <v/>
      </c>
      <c r="W31" s="18" t="str">
        <f t="shared" si="26"/>
        <v/>
      </c>
      <c r="X31" s="18" t="str">
        <f t="shared" si="26"/>
        <v/>
      </c>
      <c r="Y31" s="18" t="str">
        <f t="shared" si="26"/>
        <v/>
      </c>
      <c r="Z31" t="str">
        <f>IF(ISNUMBER(SEARCH("hito",Tareas!J28)),"H",IF(Tareas!C28="Épica","E",IF(Tareas!I28="Listo","L","T")))</f>
        <v>T</v>
      </c>
    </row>
    <row r="32" spans="1:26" x14ac:dyDescent="0.3">
      <c r="A32" s="19">
        <f>Tareas!A29</f>
        <v>28</v>
      </c>
      <c r="B32" s="19" t="str">
        <f>IF(Tareas!C29="Épica",Tareas!D29,"    "&amp;Tareas!D29)</f>
        <v>E4 Evaluación de la metodología (OE4)</v>
      </c>
      <c r="C32" s="20">
        <f>Tareas!E29</f>
        <v>46392</v>
      </c>
      <c r="D32" s="20">
        <f>Tareas!F29</f>
        <v>46426</v>
      </c>
      <c r="E32" s="19" t="str">
        <f>Tareas!I29</f>
        <v>Por hacer</v>
      </c>
      <c r="F32" s="18" t="str">
        <f t="shared" ref="F32:Y32" si="27">IF(AND($C32&lt;=F$4+6,$D32&gt;=F$4),$Z32,"")</f>
        <v/>
      </c>
      <c r="G32" s="18" t="str">
        <f t="shared" si="27"/>
        <v/>
      </c>
      <c r="H32" s="18" t="str">
        <f t="shared" si="27"/>
        <v/>
      </c>
      <c r="I32" s="18" t="str">
        <f t="shared" si="27"/>
        <v/>
      </c>
      <c r="J32" s="18" t="str">
        <f t="shared" si="27"/>
        <v/>
      </c>
      <c r="K32" s="18" t="str">
        <f t="shared" si="27"/>
        <v/>
      </c>
      <c r="L32" s="18" t="str">
        <f t="shared" si="27"/>
        <v/>
      </c>
      <c r="M32" s="18" t="str">
        <f t="shared" si="27"/>
        <v/>
      </c>
      <c r="N32" s="18" t="str">
        <f t="shared" si="27"/>
        <v/>
      </c>
      <c r="O32" s="18" t="str">
        <f t="shared" si="27"/>
        <v/>
      </c>
      <c r="P32" s="18" t="str">
        <f t="shared" si="27"/>
        <v/>
      </c>
      <c r="Q32" s="18" t="str">
        <f t="shared" si="27"/>
        <v/>
      </c>
      <c r="R32" s="18" t="str">
        <f t="shared" si="27"/>
        <v>E</v>
      </c>
      <c r="S32" s="18" t="str">
        <f t="shared" si="27"/>
        <v>E</v>
      </c>
      <c r="T32" s="18" t="str">
        <f t="shared" si="27"/>
        <v>E</v>
      </c>
      <c r="U32" s="18" t="str">
        <f t="shared" si="27"/>
        <v>E</v>
      </c>
      <c r="V32" s="18" t="str">
        <f t="shared" si="27"/>
        <v>E</v>
      </c>
      <c r="W32" s="18" t="str">
        <f t="shared" si="27"/>
        <v/>
      </c>
      <c r="X32" s="18" t="str">
        <f t="shared" si="27"/>
        <v/>
      </c>
      <c r="Y32" s="18" t="str">
        <f t="shared" si="27"/>
        <v/>
      </c>
      <c r="Z32" t="str">
        <f>IF(ISNUMBER(SEARCH("hito",Tareas!J29)),"H",IF(Tareas!C29="Épica","E",IF(Tareas!I29="Listo","L","T")))</f>
        <v>E</v>
      </c>
    </row>
    <row r="33" spans="1:26" x14ac:dyDescent="0.3">
      <c r="A33" s="16">
        <f>Tareas!A30</f>
        <v>29</v>
      </c>
      <c r="B33" s="16" t="str">
        <f>IF(Tareas!C30="Épica",Tareas!D30,"    "&amp;Tareas!D30)</f>
        <v xml:space="preserve">    Preparar el simulacro de vulneración V2 (Anexo del simulacro)</v>
      </c>
      <c r="C33" s="17">
        <f>Tareas!E30</f>
        <v>46392</v>
      </c>
      <c r="D33" s="17">
        <f>Tareas!F30</f>
        <v>46402</v>
      </c>
      <c r="E33" s="16" t="str">
        <f>Tareas!I30</f>
        <v>Por hacer</v>
      </c>
      <c r="F33" s="18" t="str">
        <f t="shared" ref="F33:Y33" si="28">IF(AND($C33&lt;=F$4+6,$D33&gt;=F$4),$Z33,"")</f>
        <v/>
      </c>
      <c r="G33" s="18" t="str">
        <f t="shared" si="28"/>
        <v/>
      </c>
      <c r="H33" s="18" t="str">
        <f t="shared" si="28"/>
        <v/>
      </c>
      <c r="I33" s="18" t="str">
        <f t="shared" si="28"/>
        <v/>
      </c>
      <c r="J33" s="18" t="str">
        <f t="shared" si="28"/>
        <v/>
      </c>
      <c r="K33" s="18" t="str">
        <f t="shared" si="28"/>
        <v/>
      </c>
      <c r="L33" s="18" t="str">
        <f t="shared" si="28"/>
        <v/>
      </c>
      <c r="M33" s="18" t="str">
        <f t="shared" si="28"/>
        <v/>
      </c>
      <c r="N33" s="18" t="str">
        <f t="shared" si="28"/>
        <v/>
      </c>
      <c r="O33" s="18" t="str">
        <f t="shared" si="28"/>
        <v/>
      </c>
      <c r="P33" s="18" t="str">
        <f t="shared" si="28"/>
        <v/>
      </c>
      <c r="Q33" s="18" t="str">
        <f t="shared" si="28"/>
        <v/>
      </c>
      <c r="R33" s="18" t="str">
        <f t="shared" si="28"/>
        <v>T</v>
      </c>
      <c r="S33" s="18" t="str">
        <f t="shared" si="28"/>
        <v>T</v>
      </c>
      <c r="T33" s="18" t="str">
        <f t="shared" si="28"/>
        <v/>
      </c>
      <c r="U33" s="18" t="str">
        <f t="shared" si="28"/>
        <v/>
      </c>
      <c r="V33" s="18" t="str">
        <f t="shared" si="28"/>
        <v/>
      </c>
      <c r="W33" s="18" t="str">
        <f t="shared" si="28"/>
        <v/>
      </c>
      <c r="X33" s="18" t="str">
        <f t="shared" si="28"/>
        <v/>
      </c>
      <c r="Y33" s="18" t="str">
        <f t="shared" si="28"/>
        <v/>
      </c>
      <c r="Z33" t="str">
        <f>IF(ISNUMBER(SEARCH("hito",Tareas!J30)),"H",IF(Tareas!C30="Épica","E",IF(Tareas!I30="Listo","L","T")))</f>
        <v>T</v>
      </c>
    </row>
    <row r="34" spans="1:26" x14ac:dyDescent="0.3">
      <c r="A34" s="16">
        <f>Tareas!A31</f>
        <v>30</v>
      </c>
      <c r="B34" s="16" t="str">
        <f>IF(Tareas!C31="Épica",Tareas!D31,"    "&amp;Tareas!D31)</f>
        <v xml:space="preserve">    Ejecutar el simulacro V2 y registrar tiempos</v>
      </c>
      <c r="C34" s="17">
        <f>Tareas!E31</f>
        <v>46406</v>
      </c>
      <c r="D34" s="17">
        <f>Tareas!F31</f>
        <v>46409</v>
      </c>
      <c r="E34" s="16" t="str">
        <f>Tareas!I31</f>
        <v>Por hacer</v>
      </c>
      <c r="F34" s="18" t="str">
        <f t="shared" ref="F34:Y34" si="29">IF(AND($C34&lt;=F$4+6,$D34&gt;=F$4),$Z34,"")</f>
        <v/>
      </c>
      <c r="G34" s="18" t="str">
        <f t="shared" si="29"/>
        <v/>
      </c>
      <c r="H34" s="18" t="str">
        <f t="shared" si="29"/>
        <v/>
      </c>
      <c r="I34" s="18" t="str">
        <f t="shared" si="29"/>
        <v/>
      </c>
      <c r="J34" s="18" t="str">
        <f t="shared" si="29"/>
        <v/>
      </c>
      <c r="K34" s="18" t="str">
        <f t="shared" si="29"/>
        <v/>
      </c>
      <c r="L34" s="18" t="str">
        <f t="shared" si="29"/>
        <v/>
      </c>
      <c r="M34" s="18" t="str">
        <f t="shared" si="29"/>
        <v/>
      </c>
      <c r="N34" s="18" t="str">
        <f t="shared" si="29"/>
        <v/>
      </c>
      <c r="O34" s="18" t="str">
        <f t="shared" si="29"/>
        <v/>
      </c>
      <c r="P34" s="18" t="str">
        <f t="shared" si="29"/>
        <v/>
      </c>
      <c r="Q34" s="18" t="str">
        <f t="shared" si="29"/>
        <v/>
      </c>
      <c r="R34" s="18" t="str">
        <f t="shared" si="29"/>
        <v/>
      </c>
      <c r="S34" s="18" t="str">
        <f t="shared" si="29"/>
        <v/>
      </c>
      <c r="T34" s="18" t="str">
        <f t="shared" si="29"/>
        <v>T</v>
      </c>
      <c r="U34" s="18" t="str">
        <f t="shared" si="29"/>
        <v/>
      </c>
      <c r="V34" s="18" t="str">
        <f t="shared" si="29"/>
        <v/>
      </c>
      <c r="W34" s="18" t="str">
        <f t="shared" si="29"/>
        <v/>
      </c>
      <c r="X34" s="18" t="str">
        <f t="shared" si="29"/>
        <v/>
      </c>
      <c r="Y34" s="18" t="str">
        <f t="shared" si="29"/>
        <v/>
      </c>
      <c r="Z34" t="str">
        <f>IF(ISNUMBER(SEARCH("hito",Tareas!J31)),"H",IF(Tareas!C31="Épica","E",IF(Tareas!I31="Listo","L","T")))</f>
        <v>T</v>
      </c>
    </row>
    <row r="35" spans="1:26" x14ac:dyDescent="0.3">
      <c r="A35" s="16">
        <f>Tareas!A32</f>
        <v>31</v>
      </c>
      <c r="B35" s="16" t="str">
        <f>IF(Tareas!C32="Épica",Tareas!D32,"    "&amp;Tareas!D32)</f>
        <v xml:space="preserve">    Juicio de expertos sobre la metodología (Anexo F)</v>
      </c>
      <c r="C35" s="17">
        <f>Tareas!E32</f>
        <v>46406</v>
      </c>
      <c r="D35" s="17">
        <f>Tareas!F32</f>
        <v>46416</v>
      </c>
      <c r="E35" s="16" t="str">
        <f>Tareas!I32</f>
        <v>Por hacer</v>
      </c>
      <c r="F35" s="18" t="str">
        <f t="shared" ref="F35:Y35" si="30">IF(AND($C35&lt;=F$4+6,$D35&gt;=F$4),$Z35,"")</f>
        <v/>
      </c>
      <c r="G35" s="18" t="str">
        <f t="shared" si="30"/>
        <v/>
      </c>
      <c r="H35" s="18" t="str">
        <f t="shared" si="30"/>
        <v/>
      </c>
      <c r="I35" s="18" t="str">
        <f t="shared" si="30"/>
        <v/>
      </c>
      <c r="J35" s="18" t="str">
        <f t="shared" si="30"/>
        <v/>
      </c>
      <c r="K35" s="18" t="str">
        <f t="shared" si="30"/>
        <v/>
      </c>
      <c r="L35" s="18" t="str">
        <f t="shared" si="30"/>
        <v/>
      </c>
      <c r="M35" s="18" t="str">
        <f t="shared" si="30"/>
        <v/>
      </c>
      <c r="N35" s="18" t="str">
        <f t="shared" si="30"/>
        <v/>
      </c>
      <c r="O35" s="18" t="str">
        <f t="shared" si="30"/>
        <v/>
      </c>
      <c r="P35" s="18" t="str">
        <f t="shared" si="30"/>
        <v/>
      </c>
      <c r="Q35" s="18" t="str">
        <f t="shared" si="30"/>
        <v/>
      </c>
      <c r="R35" s="18" t="str">
        <f t="shared" si="30"/>
        <v/>
      </c>
      <c r="S35" s="18" t="str">
        <f t="shared" si="30"/>
        <v/>
      </c>
      <c r="T35" s="18" t="str">
        <f t="shared" si="30"/>
        <v>T</v>
      </c>
      <c r="U35" s="18" t="str">
        <f t="shared" si="30"/>
        <v>T</v>
      </c>
      <c r="V35" s="18" t="str">
        <f t="shared" si="30"/>
        <v/>
      </c>
      <c r="W35" s="18" t="str">
        <f t="shared" si="30"/>
        <v/>
      </c>
      <c r="X35" s="18" t="str">
        <f t="shared" si="30"/>
        <v/>
      </c>
      <c r="Y35" s="18" t="str">
        <f t="shared" si="30"/>
        <v/>
      </c>
      <c r="Z35" t="str">
        <f>IF(ISNUMBER(SEARCH("hito",Tareas!J32)),"H",IF(Tareas!C32="Épica","E",IF(Tareas!I32="Listo","L","T")))</f>
        <v>T</v>
      </c>
    </row>
    <row r="36" spans="1:26" x14ac:dyDescent="0.3">
      <c r="A36" s="16">
        <f>Tareas!A33</f>
        <v>32</v>
      </c>
      <c r="B36" s="16" t="str">
        <f>IF(Tareas!C33="Épica",Tareas!D33,"    "&amp;Tareas!D33)</f>
        <v xml:space="preserve">    Calcular indicadores IV04-IV12; V de Aiken y W de Kendall</v>
      </c>
      <c r="C36" s="17">
        <f>Tareas!E33</f>
        <v>46413</v>
      </c>
      <c r="D36" s="17">
        <f>Tareas!F33</f>
        <v>46423</v>
      </c>
      <c r="E36" s="16" t="str">
        <f>Tareas!I33</f>
        <v>Por hacer</v>
      </c>
      <c r="F36" s="18" t="str">
        <f t="shared" ref="F36:Y36" si="31">IF(AND($C36&lt;=F$4+6,$D36&gt;=F$4),$Z36,"")</f>
        <v/>
      </c>
      <c r="G36" s="18" t="str">
        <f t="shared" si="31"/>
        <v/>
      </c>
      <c r="H36" s="18" t="str">
        <f t="shared" si="31"/>
        <v/>
      </c>
      <c r="I36" s="18" t="str">
        <f t="shared" si="31"/>
        <v/>
      </c>
      <c r="J36" s="18" t="str">
        <f t="shared" si="31"/>
        <v/>
      </c>
      <c r="K36" s="18" t="str">
        <f t="shared" si="31"/>
        <v/>
      </c>
      <c r="L36" s="18" t="str">
        <f t="shared" si="31"/>
        <v/>
      </c>
      <c r="M36" s="18" t="str">
        <f t="shared" si="31"/>
        <v/>
      </c>
      <c r="N36" s="18" t="str">
        <f t="shared" si="31"/>
        <v/>
      </c>
      <c r="O36" s="18" t="str">
        <f t="shared" si="31"/>
        <v/>
      </c>
      <c r="P36" s="18" t="str">
        <f t="shared" si="31"/>
        <v/>
      </c>
      <c r="Q36" s="18" t="str">
        <f t="shared" si="31"/>
        <v/>
      </c>
      <c r="R36" s="18" t="str">
        <f t="shared" si="31"/>
        <v/>
      </c>
      <c r="S36" s="18" t="str">
        <f t="shared" si="31"/>
        <v/>
      </c>
      <c r="T36" s="18" t="str">
        <f t="shared" si="31"/>
        <v/>
      </c>
      <c r="U36" s="18" t="str">
        <f t="shared" si="31"/>
        <v>T</v>
      </c>
      <c r="V36" s="18" t="str">
        <f t="shared" si="31"/>
        <v>T</v>
      </c>
      <c r="W36" s="18" t="str">
        <f t="shared" si="31"/>
        <v/>
      </c>
      <c r="X36" s="18" t="str">
        <f t="shared" si="31"/>
        <v/>
      </c>
      <c r="Y36" s="18" t="str">
        <f t="shared" si="31"/>
        <v/>
      </c>
      <c r="Z36" t="str">
        <f>IF(ISNUMBER(SEARCH("hito",Tareas!J33)),"H",IF(Tareas!C33="Épica","E",IF(Tareas!I33="Listo","L","T")))</f>
        <v>T</v>
      </c>
    </row>
    <row r="37" spans="1:26" x14ac:dyDescent="0.3">
      <c r="A37" s="16">
        <f>Tareas!A34</f>
        <v>33</v>
      </c>
      <c r="B37" s="16" t="str">
        <f>IF(Tareas!C34="Épica",Tareas!D34,"    "&amp;Tareas!D34)</f>
        <v xml:space="preserve">    Formular recomendaciones de mejora continua</v>
      </c>
      <c r="C37" s="17">
        <f>Tareas!E34</f>
        <v>46419</v>
      </c>
      <c r="D37" s="17">
        <f>Tareas!F34</f>
        <v>46423</v>
      </c>
      <c r="E37" s="16" t="str">
        <f>Tareas!I34</f>
        <v>Por hacer</v>
      </c>
      <c r="F37" s="18" t="str">
        <f t="shared" ref="F37:Y37" si="32">IF(AND($C37&lt;=F$4+6,$D37&gt;=F$4),$Z37,"")</f>
        <v/>
      </c>
      <c r="G37" s="18" t="str">
        <f t="shared" si="32"/>
        <v/>
      </c>
      <c r="H37" s="18" t="str">
        <f t="shared" si="32"/>
        <v/>
      </c>
      <c r="I37" s="18" t="str">
        <f t="shared" si="32"/>
        <v/>
      </c>
      <c r="J37" s="18" t="str">
        <f t="shared" si="32"/>
        <v/>
      </c>
      <c r="K37" s="18" t="str">
        <f t="shared" si="32"/>
        <v/>
      </c>
      <c r="L37" s="18" t="str">
        <f t="shared" si="32"/>
        <v/>
      </c>
      <c r="M37" s="18" t="str">
        <f t="shared" si="32"/>
        <v/>
      </c>
      <c r="N37" s="18" t="str">
        <f t="shared" si="32"/>
        <v/>
      </c>
      <c r="O37" s="18" t="str">
        <f t="shared" si="32"/>
        <v/>
      </c>
      <c r="P37" s="18" t="str">
        <f t="shared" si="32"/>
        <v/>
      </c>
      <c r="Q37" s="18" t="str">
        <f t="shared" si="32"/>
        <v/>
      </c>
      <c r="R37" s="18" t="str">
        <f t="shared" si="32"/>
        <v/>
      </c>
      <c r="S37" s="18" t="str">
        <f t="shared" si="32"/>
        <v/>
      </c>
      <c r="T37" s="18" t="str">
        <f t="shared" si="32"/>
        <v/>
      </c>
      <c r="U37" s="18" t="str">
        <f t="shared" si="32"/>
        <v>T</v>
      </c>
      <c r="V37" s="18" t="str">
        <f t="shared" si="32"/>
        <v>T</v>
      </c>
      <c r="W37" s="18" t="str">
        <f t="shared" si="32"/>
        <v/>
      </c>
      <c r="X37" s="18" t="str">
        <f t="shared" si="32"/>
        <v/>
      </c>
      <c r="Y37" s="18" t="str">
        <f t="shared" si="32"/>
        <v/>
      </c>
      <c r="Z37" t="str">
        <f>IF(ISNUMBER(SEARCH("hito",Tareas!J34)),"H",IF(Tareas!C34="Épica","E",IF(Tareas!I34="Listo","L","T")))</f>
        <v>T</v>
      </c>
    </row>
    <row r="38" spans="1:26" x14ac:dyDescent="0.3">
      <c r="A38" s="19">
        <f>Tareas!A35</f>
        <v>34</v>
      </c>
      <c r="B38" s="19" t="str">
        <f>IF(Tareas!C35="Épica",Tareas!D35,"    "&amp;Tareas!D35)</f>
        <v>E5 Documentación final y sustentación</v>
      </c>
      <c r="C38" s="20">
        <f>Tareas!E35</f>
        <v>46412</v>
      </c>
      <c r="D38" s="20">
        <f>Tareas!F35</f>
        <v>46444</v>
      </c>
      <c r="E38" s="19" t="str">
        <f>Tareas!I35</f>
        <v>Por hacer</v>
      </c>
      <c r="F38" s="18" t="str">
        <f t="shared" ref="F38:Y38" si="33">IF(AND($C38&lt;=F$4+6,$D38&gt;=F$4),$Z38,"")</f>
        <v/>
      </c>
      <c r="G38" s="18" t="str">
        <f t="shared" si="33"/>
        <v/>
      </c>
      <c r="H38" s="18" t="str">
        <f t="shared" si="33"/>
        <v/>
      </c>
      <c r="I38" s="18" t="str">
        <f t="shared" si="33"/>
        <v/>
      </c>
      <c r="J38" s="18" t="str">
        <f t="shared" si="33"/>
        <v/>
      </c>
      <c r="K38" s="18" t="str">
        <f t="shared" si="33"/>
        <v/>
      </c>
      <c r="L38" s="18" t="str">
        <f t="shared" si="33"/>
        <v/>
      </c>
      <c r="M38" s="18" t="str">
        <f t="shared" si="33"/>
        <v/>
      </c>
      <c r="N38" s="18" t="str">
        <f t="shared" si="33"/>
        <v/>
      </c>
      <c r="O38" s="18" t="str">
        <f t="shared" si="33"/>
        <v/>
      </c>
      <c r="P38" s="18" t="str">
        <f t="shared" si="33"/>
        <v/>
      </c>
      <c r="Q38" s="18" t="str">
        <f t="shared" si="33"/>
        <v/>
      </c>
      <c r="R38" s="18" t="str">
        <f t="shared" si="33"/>
        <v/>
      </c>
      <c r="S38" s="18" t="str">
        <f t="shared" si="33"/>
        <v/>
      </c>
      <c r="T38" s="18" t="str">
        <f t="shared" si="33"/>
        <v>E</v>
      </c>
      <c r="U38" s="18" t="str">
        <f t="shared" si="33"/>
        <v>E</v>
      </c>
      <c r="V38" s="18" t="str">
        <f t="shared" si="33"/>
        <v>E</v>
      </c>
      <c r="W38" s="18" t="str">
        <f t="shared" si="33"/>
        <v>E</v>
      </c>
      <c r="X38" s="18" t="str">
        <f t="shared" si="33"/>
        <v>E</v>
      </c>
      <c r="Y38" s="18" t="str">
        <f t="shared" si="33"/>
        <v>E</v>
      </c>
      <c r="Z38" t="str">
        <f>IF(ISNUMBER(SEARCH("hito",Tareas!J35)),"H",IF(Tareas!C35="Épica","E",IF(Tareas!I35="Listo","L","T")))</f>
        <v>E</v>
      </c>
    </row>
    <row r="39" spans="1:26" x14ac:dyDescent="0.3">
      <c r="A39" s="16">
        <f>Tareas!A36</f>
        <v>35</v>
      </c>
      <c r="B39" s="16" t="str">
        <f>IF(Tareas!C36="Épica",Tareas!D36,"    "&amp;Tareas!D36)</f>
        <v xml:space="preserve">    Actualizar Cap. 3 y Cap. 4 con los resultados reales</v>
      </c>
      <c r="C39" s="17">
        <f>Tareas!E36</f>
        <v>46412</v>
      </c>
      <c r="D39" s="17">
        <f>Tareas!F36</f>
        <v>46423</v>
      </c>
      <c r="E39" s="16" t="str">
        <f>Tareas!I36</f>
        <v>Por hacer</v>
      </c>
      <c r="F39" s="18" t="str">
        <f t="shared" ref="F39:Y39" si="34">IF(AND($C39&lt;=F$4+6,$D39&gt;=F$4),$Z39,"")</f>
        <v/>
      </c>
      <c r="G39" s="18" t="str">
        <f t="shared" si="34"/>
        <v/>
      </c>
      <c r="H39" s="18" t="str">
        <f t="shared" si="34"/>
        <v/>
      </c>
      <c r="I39" s="18" t="str">
        <f t="shared" si="34"/>
        <v/>
      </c>
      <c r="J39" s="18" t="str">
        <f t="shared" si="34"/>
        <v/>
      </c>
      <c r="K39" s="18" t="str">
        <f t="shared" si="34"/>
        <v/>
      </c>
      <c r="L39" s="18" t="str">
        <f t="shared" si="34"/>
        <v/>
      </c>
      <c r="M39" s="18" t="str">
        <f t="shared" si="34"/>
        <v/>
      </c>
      <c r="N39" s="18" t="str">
        <f t="shared" si="34"/>
        <v/>
      </c>
      <c r="O39" s="18" t="str">
        <f t="shared" si="34"/>
        <v/>
      </c>
      <c r="P39" s="18" t="str">
        <f t="shared" si="34"/>
        <v/>
      </c>
      <c r="Q39" s="18" t="str">
        <f t="shared" si="34"/>
        <v/>
      </c>
      <c r="R39" s="18" t="str">
        <f t="shared" si="34"/>
        <v/>
      </c>
      <c r="S39" s="18" t="str">
        <f t="shared" si="34"/>
        <v/>
      </c>
      <c r="T39" s="18" t="str">
        <f t="shared" si="34"/>
        <v>T</v>
      </c>
      <c r="U39" s="18" t="str">
        <f t="shared" si="34"/>
        <v>T</v>
      </c>
      <c r="V39" s="18" t="str">
        <f t="shared" si="34"/>
        <v>T</v>
      </c>
      <c r="W39" s="18" t="str">
        <f t="shared" si="34"/>
        <v/>
      </c>
      <c r="X39" s="18" t="str">
        <f t="shared" si="34"/>
        <v/>
      </c>
      <c r="Y39" s="18" t="str">
        <f t="shared" si="34"/>
        <v/>
      </c>
      <c r="Z39" t="str">
        <f>IF(ISNUMBER(SEARCH("hito",Tareas!J36)),"H",IF(Tareas!C36="Épica","E",IF(Tareas!I36="Listo","L","T")))</f>
        <v>T</v>
      </c>
    </row>
    <row r="40" spans="1:26" x14ac:dyDescent="0.3">
      <c r="A40" s="16">
        <f>Tareas!A37</f>
        <v>36</v>
      </c>
      <c r="B40" s="16" t="str">
        <f>IF(Tareas!C37="Épica",Tareas!D37,"    "&amp;Tareas!D37)</f>
        <v xml:space="preserve">    Resumen; abstract y revisión formal final (IEEE; guiones; referencias)</v>
      </c>
      <c r="C40" s="17">
        <f>Tareas!E37</f>
        <v>46428</v>
      </c>
      <c r="D40" s="17">
        <f>Tareas!F37</f>
        <v>46430</v>
      </c>
      <c r="E40" s="16" t="str">
        <f>Tareas!I37</f>
        <v>Por hacer</v>
      </c>
      <c r="F40" s="18" t="str">
        <f t="shared" ref="F40:Y40" si="35">IF(AND($C40&lt;=F$4+6,$D40&gt;=F$4),$Z40,"")</f>
        <v/>
      </c>
      <c r="G40" s="18" t="str">
        <f t="shared" si="35"/>
        <v/>
      </c>
      <c r="H40" s="18" t="str">
        <f t="shared" si="35"/>
        <v/>
      </c>
      <c r="I40" s="18" t="str">
        <f t="shared" si="35"/>
        <v/>
      </c>
      <c r="J40" s="18" t="str">
        <f t="shared" si="35"/>
        <v/>
      </c>
      <c r="K40" s="18" t="str">
        <f t="shared" si="35"/>
        <v/>
      </c>
      <c r="L40" s="18" t="str">
        <f t="shared" si="35"/>
        <v/>
      </c>
      <c r="M40" s="18" t="str">
        <f t="shared" si="35"/>
        <v/>
      </c>
      <c r="N40" s="18" t="str">
        <f t="shared" si="35"/>
        <v/>
      </c>
      <c r="O40" s="18" t="str">
        <f t="shared" si="35"/>
        <v/>
      </c>
      <c r="P40" s="18" t="str">
        <f t="shared" si="35"/>
        <v/>
      </c>
      <c r="Q40" s="18" t="str">
        <f t="shared" si="35"/>
        <v/>
      </c>
      <c r="R40" s="18" t="str">
        <f t="shared" si="35"/>
        <v/>
      </c>
      <c r="S40" s="18" t="str">
        <f t="shared" si="35"/>
        <v/>
      </c>
      <c r="T40" s="18" t="str">
        <f t="shared" si="35"/>
        <v/>
      </c>
      <c r="U40" s="18" t="str">
        <f t="shared" si="35"/>
        <v/>
      </c>
      <c r="V40" s="18" t="str">
        <f t="shared" si="35"/>
        <v/>
      </c>
      <c r="W40" s="18" t="str">
        <f t="shared" si="35"/>
        <v>T</v>
      </c>
      <c r="X40" s="18" t="str">
        <f t="shared" si="35"/>
        <v/>
      </c>
      <c r="Y40" s="18" t="str">
        <f t="shared" si="35"/>
        <v/>
      </c>
      <c r="Z40" t="str">
        <f>IF(ISNUMBER(SEARCH("hito",Tareas!J37)),"H",IF(Tareas!C37="Épica","E",IF(Tareas!I37="Listo","L","T")))</f>
        <v>T</v>
      </c>
    </row>
    <row r="41" spans="1:26" x14ac:dyDescent="0.3">
      <c r="A41" s="16">
        <f>Tareas!A38</f>
        <v>37</v>
      </c>
      <c r="B41" s="16" t="str">
        <f>IF(Tareas!C38="Épica",Tareas!D38,"    "&amp;Tareas!D38)</f>
        <v xml:space="preserve">    Revisión y aprobación de la tutora</v>
      </c>
      <c r="C41" s="17">
        <f>Tareas!E38</f>
        <v>46428</v>
      </c>
      <c r="D41" s="17">
        <f>Tareas!F38</f>
        <v>46434</v>
      </c>
      <c r="E41" s="16" t="str">
        <f>Tareas!I38</f>
        <v>Por hacer</v>
      </c>
      <c r="F41" s="18" t="str">
        <f t="shared" ref="F41:Y41" si="36">IF(AND($C41&lt;=F$4+6,$D41&gt;=F$4),$Z41,"")</f>
        <v/>
      </c>
      <c r="G41" s="18" t="str">
        <f t="shared" si="36"/>
        <v/>
      </c>
      <c r="H41" s="18" t="str">
        <f t="shared" si="36"/>
        <v/>
      </c>
      <c r="I41" s="18" t="str">
        <f t="shared" si="36"/>
        <v/>
      </c>
      <c r="J41" s="18" t="str">
        <f t="shared" si="36"/>
        <v/>
      </c>
      <c r="K41" s="18" t="str">
        <f t="shared" si="36"/>
        <v/>
      </c>
      <c r="L41" s="18" t="str">
        <f t="shared" si="36"/>
        <v/>
      </c>
      <c r="M41" s="18" t="str">
        <f t="shared" si="36"/>
        <v/>
      </c>
      <c r="N41" s="18" t="str">
        <f t="shared" si="36"/>
        <v/>
      </c>
      <c r="O41" s="18" t="str">
        <f t="shared" si="36"/>
        <v/>
      </c>
      <c r="P41" s="18" t="str">
        <f t="shared" si="36"/>
        <v/>
      </c>
      <c r="Q41" s="18" t="str">
        <f t="shared" si="36"/>
        <v/>
      </c>
      <c r="R41" s="18" t="str">
        <f t="shared" si="36"/>
        <v/>
      </c>
      <c r="S41" s="18" t="str">
        <f t="shared" si="36"/>
        <v/>
      </c>
      <c r="T41" s="18" t="str">
        <f t="shared" si="36"/>
        <v/>
      </c>
      <c r="U41" s="18" t="str">
        <f t="shared" si="36"/>
        <v/>
      </c>
      <c r="V41" s="18" t="str">
        <f t="shared" si="36"/>
        <v/>
      </c>
      <c r="W41" s="18" t="str">
        <f t="shared" si="36"/>
        <v>T</v>
      </c>
      <c r="X41" s="18" t="str">
        <f t="shared" si="36"/>
        <v>T</v>
      </c>
      <c r="Y41" s="18" t="str">
        <f t="shared" si="36"/>
        <v/>
      </c>
      <c r="Z41" t="str">
        <f>IF(ISNUMBER(SEARCH("hito",Tareas!J38)),"H",IF(Tareas!C38="Épica","E",IF(Tareas!I38="Listo","L","T")))</f>
        <v>T</v>
      </c>
    </row>
    <row r="42" spans="1:26" x14ac:dyDescent="0.3">
      <c r="A42" s="16">
        <f>Tareas!A39</f>
        <v>38</v>
      </c>
      <c r="B42" s="16" t="str">
        <f>IF(Tareas!C39="Épica",Tareas!D39,"    "&amp;Tareas!D39)</f>
        <v xml:space="preserve">    Revisión y aprobación de los lectores</v>
      </c>
      <c r="C42" s="17">
        <f>Tareas!E39</f>
        <v>46434</v>
      </c>
      <c r="D42" s="17">
        <f>Tareas!F39</f>
        <v>46440</v>
      </c>
      <c r="E42" s="16" t="str">
        <f>Tareas!I39</f>
        <v>Por hacer</v>
      </c>
      <c r="F42" s="18" t="str">
        <f t="shared" ref="F42:Y42" si="37">IF(AND($C42&lt;=F$4+6,$D42&gt;=F$4),$Z42,"")</f>
        <v/>
      </c>
      <c r="G42" s="18" t="str">
        <f t="shared" si="37"/>
        <v/>
      </c>
      <c r="H42" s="18" t="str">
        <f t="shared" si="37"/>
        <v/>
      </c>
      <c r="I42" s="18" t="str">
        <f t="shared" si="37"/>
        <v/>
      </c>
      <c r="J42" s="18" t="str">
        <f t="shared" si="37"/>
        <v/>
      </c>
      <c r="K42" s="18" t="str">
        <f t="shared" si="37"/>
        <v/>
      </c>
      <c r="L42" s="18" t="str">
        <f t="shared" si="37"/>
        <v/>
      </c>
      <c r="M42" s="18" t="str">
        <f t="shared" si="37"/>
        <v/>
      </c>
      <c r="N42" s="18" t="str">
        <f t="shared" si="37"/>
        <v/>
      </c>
      <c r="O42" s="18" t="str">
        <f t="shared" si="37"/>
        <v/>
      </c>
      <c r="P42" s="18" t="str">
        <f t="shared" si="37"/>
        <v/>
      </c>
      <c r="Q42" s="18" t="str">
        <f t="shared" si="37"/>
        <v/>
      </c>
      <c r="R42" s="18" t="str">
        <f t="shared" si="37"/>
        <v/>
      </c>
      <c r="S42" s="18" t="str">
        <f t="shared" si="37"/>
        <v/>
      </c>
      <c r="T42" s="18" t="str">
        <f t="shared" si="37"/>
        <v/>
      </c>
      <c r="U42" s="18" t="str">
        <f t="shared" si="37"/>
        <v/>
      </c>
      <c r="V42" s="18" t="str">
        <f t="shared" si="37"/>
        <v/>
      </c>
      <c r="W42" s="18" t="str">
        <f t="shared" si="37"/>
        <v/>
      </c>
      <c r="X42" s="18" t="str">
        <f t="shared" si="37"/>
        <v>T</v>
      </c>
      <c r="Y42" s="18" t="str">
        <f t="shared" si="37"/>
        <v/>
      </c>
      <c r="Z42" t="str">
        <f>IF(ISNUMBER(SEARCH("hito",Tareas!J39)),"H",IF(Tareas!C39="Épica","E",IF(Tareas!I39="Listo","L","T")))</f>
        <v>T</v>
      </c>
    </row>
    <row r="43" spans="1:26" x14ac:dyDescent="0.3">
      <c r="A43" s="16">
        <f>Tareas!A40</f>
        <v>39</v>
      </c>
      <c r="B43" s="16" t="str">
        <f>IF(Tareas!C40="Épica",Tareas!D40,"    "&amp;Tareas!D40)</f>
        <v xml:space="preserve">    Preparar la sustentación (presentación y ensayo)</v>
      </c>
      <c r="C43" s="17">
        <f>Tareas!E40</f>
        <v>46434</v>
      </c>
      <c r="D43" s="17">
        <f>Tareas!F40</f>
        <v>46443</v>
      </c>
      <c r="E43" s="16" t="str">
        <f>Tareas!I40</f>
        <v>Por hacer</v>
      </c>
      <c r="F43" s="18" t="str">
        <f t="shared" ref="F43:Y43" si="38">IF(AND($C43&lt;=F$4+6,$D43&gt;=F$4),$Z43,"")</f>
        <v/>
      </c>
      <c r="G43" s="18" t="str">
        <f t="shared" si="38"/>
        <v/>
      </c>
      <c r="H43" s="18" t="str">
        <f t="shared" si="38"/>
        <v/>
      </c>
      <c r="I43" s="18" t="str">
        <f t="shared" si="38"/>
        <v/>
      </c>
      <c r="J43" s="18" t="str">
        <f t="shared" si="38"/>
        <v/>
      </c>
      <c r="K43" s="18" t="str">
        <f t="shared" si="38"/>
        <v/>
      </c>
      <c r="L43" s="18" t="str">
        <f t="shared" si="38"/>
        <v/>
      </c>
      <c r="M43" s="18" t="str">
        <f t="shared" si="38"/>
        <v/>
      </c>
      <c r="N43" s="18" t="str">
        <f t="shared" si="38"/>
        <v/>
      </c>
      <c r="O43" s="18" t="str">
        <f t="shared" si="38"/>
        <v/>
      </c>
      <c r="P43" s="18" t="str">
        <f t="shared" si="38"/>
        <v/>
      </c>
      <c r="Q43" s="18" t="str">
        <f t="shared" si="38"/>
        <v/>
      </c>
      <c r="R43" s="18" t="str">
        <f t="shared" si="38"/>
        <v/>
      </c>
      <c r="S43" s="18" t="str">
        <f t="shared" si="38"/>
        <v/>
      </c>
      <c r="T43" s="18" t="str">
        <f t="shared" si="38"/>
        <v/>
      </c>
      <c r="U43" s="18" t="str">
        <f t="shared" si="38"/>
        <v/>
      </c>
      <c r="V43" s="18" t="str">
        <f t="shared" si="38"/>
        <v/>
      </c>
      <c r="W43" s="18" t="str">
        <f t="shared" si="38"/>
        <v/>
      </c>
      <c r="X43" s="18" t="str">
        <f t="shared" si="38"/>
        <v>T</v>
      </c>
      <c r="Y43" s="18" t="str">
        <f t="shared" si="38"/>
        <v>T</v>
      </c>
      <c r="Z43" t="str">
        <f>IF(ISNUMBER(SEARCH("hito",Tareas!J40)),"H",IF(Tareas!C40="Épica","E",IF(Tareas!I40="Listo","L","T")))</f>
        <v>T</v>
      </c>
    </row>
    <row r="44" spans="1:26" x14ac:dyDescent="0.3">
      <c r="A44" s="16">
        <f>Tareas!A41</f>
        <v>40</v>
      </c>
      <c r="B44" s="16" t="str">
        <f>IF(Tareas!C41="Épica",Tareas!D41,"    "&amp;Tareas!D41)</f>
        <v xml:space="preserve">    Hito: entrega final del trabajo de integración curricular</v>
      </c>
      <c r="C44" s="17">
        <f>Tareas!E41</f>
        <v>46444</v>
      </c>
      <c r="D44" s="17">
        <f>Tareas!F41</f>
        <v>46444</v>
      </c>
      <c r="E44" s="16" t="str">
        <f>Tareas!I41</f>
        <v>Por hacer</v>
      </c>
      <c r="F44" s="18" t="str">
        <f t="shared" ref="F44:Y44" si="39">IF(AND($C44&lt;=F$4+6,$D44&gt;=F$4),$Z44,"")</f>
        <v/>
      </c>
      <c r="G44" s="18" t="str">
        <f t="shared" si="39"/>
        <v/>
      </c>
      <c r="H44" s="18" t="str">
        <f t="shared" si="39"/>
        <v/>
      </c>
      <c r="I44" s="18" t="str">
        <f t="shared" si="39"/>
        <v/>
      </c>
      <c r="J44" s="18" t="str">
        <f t="shared" si="39"/>
        <v/>
      </c>
      <c r="K44" s="18" t="str">
        <f t="shared" si="39"/>
        <v/>
      </c>
      <c r="L44" s="18" t="str">
        <f t="shared" si="39"/>
        <v/>
      </c>
      <c r="M44" s="18" t="str">
        <f t="shared" si="39"/>
        <v/>
      </c>
      <c r="N44" s="18" t="str">
        <f t="shared" si="39"/>
        <v/>
      </c>
      <c r="O44" s="18" t="str">
        <f t="shared" si="39"/>
        <v/>
      </c>
      <c r="P44" s="18" t="str">
        <f t="shared" si="39"/>
        <v/>
      </c>
      <c r="Q44" s="18" t="str">
        <f t="shared" si="39"/>
        <v/>
      </c>
      <c r="R44" s="18" t="str">
        <f t="shared" si="39"/>
        <v/>
      </c>
      <c r="S44" s="18" t="str">
        <f t="shared" si="39"/>
        <v/>
      </c>
      <c r="T44" s="18" t="str">
        <f t="shared" si="39"/>
        <v/>
      </c>
      <c r="U44" s="18" t="str">
        <f t="shared" si="39"/>
        <v/>
      </c>
      <c r="V44" s="18" t="str">
        <f t="shared" si="39"/>
        <v/>
      </c>
      <c r="W44" s="18" t="str">
        <f t="shared" si="39"/>
        <v/>
      </c>
      <c r="X44" s="18" t="str">
        <f t="shared" si="39"/>
        <v/>
      </c>
      <c r="Y44" s="18" t="str">
        <f t="shared" si="39"/>
        <v>H</v>
      </c>
      <c r="Z44" t="str">
        <f>IF(ISNUMBER(SEARCH("hito",Tareas!J41)),"H",IF(Tareas!C41="Épica","E",IF(Tareas!I41="Listo","L","T")))</f>
        <v>H</v>
      </c>
    </row>
  </sheetData>
  <conditionalFormatting sqref="F5:Y44">
    <cfRule type="cellIs" dxfId="4" priority="1" stopIfTrue="1" operator="equal">
      <formula>"T"</formula>
    </cfRule>
    <cfRule type="cellIs" dxfId="3" priority="2" stopIfTrue="1" operator="equal">
      <formula>"L"</formula>
    </cfRule>
    <cfRule type="cellIs" dxfId="2" priority="3" stopIfTrue="1" operator="equal">
      <formula>"E"</formula>
    </cfRule>
    <cfRule type="cellIs" dxfId="1" priority="4" stopIfTrue="1" operator="equal">
      <formula>"H"</formula>
    </cfRule>
  </conditionalFormatting>
  <conditionalFormatting sqref="F3:Y3">
    <cfRule type="cellIs" dxfId="0" priority="5" stopIfTrue="1" operator="equal">
      <formula>"Hoy"</formula>
    </cfRule>
  </conditionalFormatting>
  <pageMargins left="0.7" right="0.7" top="0.75" bottom="0.75" header="0.3" footer="0.3"/>
  <pageSetup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MANZABA CASTRO RAMON ALEJANDRO</dc:creator>
  <cp:lastModifiedBy>MANZABA CASTRO RAMON ALEJANDRO</cp:lastModifiedBy>
  <dcterms:created xsi:type="dcterms:W3CDTF">2026-10-28T15:39:38Z</dcterms:created>
  <dcterms:modified xsi:type="dcterms:W3CDTF">2026-10-28T15:40:00Z</dcterms:modified>
</cp:coreProperties>
</file>