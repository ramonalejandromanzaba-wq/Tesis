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Instrucciones" state="visible" r:id="rId4"/>
    <sheet sheetId="2" name="Matriz" state="visible" r:id="rId5"/>
    <sheet sheetId="3" name="Decisión" state="visible" r:id="rId6"/>
    <sheet sheetId="4" name="Escalas" state="visible" r:id="rId7"/>
    <sheet sheetId="5" name="Amenazas" state="visible" r:id="rId8"/>
    <sheet sheetId="6" name="Controles" state="visible" r:id="rId9"/>
    <sheet sheetId="7" name="Delphi" state="visible" r:id="rId10"/>
    <sheet sheetId="8" name="Brier" state="visible" r:id="rId11"/>
    <sheet sheetId="9" name="Mapa de calor" state="visible" r:id="rId12"/>
    <sheet sheetId="10" name="Listas" state="visible" r:id="rId13"/>
  </sheets>
  <calcPr calcId="171027" fullCalcOnLoad="1"/>
</workbook>
</file>

<file path=xl/sharedStrings.xml><?xml version="1.0" encoding="utf-8"?>
<sst xmlns="http://schemas.openxmlformats.org/spreadsheetml/2006/main" count="862" uniqueCount="537">
  <si>
    <t>Plantilla de matriz de riesgos del tratamiento de datos personales (LOPDP)</t>
  </si>
  <si>
    <t>Trabajo de integración curricular — Ramón Alejandro Manzaba Castro — UTI, 2026</t>
  </si>
  <si>
    <t>Propósito</t>
  </si>
  <si>
    <t>Registrar, evaluar y monitorear los escenarios de riesgo del tratamiento de datos personales conforme a la metodología del Capítulo 2 (fases 0 a 4), la LOPDP, su Reglamento General y la guía de gestión de riesgos de la SPDP (V.2, 2026).</t>
  </si>
  <si>
    <t>Leyenda</t>
  </si>
  <si>
    <t>Celdas amarillas: datos que ingresa el usuario. Celdas grises: fórmulas (no editar). Las listas desplegables provienen de la hoja Listas.</t>
  </si>
  <si>
    <t>Paso 1</t>
  </si>
  <si>
    <t>Fase 1 (identificación): completar en Matriz los bloques "Identificación del tratamiento" y "Escenario de riesgo". Una fila por escenario y por dimensión (confidencialidad, integridad, disponibilidad o licitud). Usar los catálogos de Amenazas y Controles como punto de partida.</t>
  </si>
  <si>
    <t>Paso 2</t>
  </si>
  <si>
    <t>Fase 2 (evaluación): calibrar a los expertos en la hoja Brier, registrar las rondas en Delphi y trasladar a Matriz la probabilidad anual y el impacto sobre el titular con su rationale. Indicar el número de agravantes (hoja Escalas). El impacto ajustado y el nivel inherente se calculan solos.</t>
  </si>
  <si>
    <t>Paso 3</t>
  </si>
  <si>
    <t>Fase 3 (mitigación): elegir el tratamiento, proponer controles (ref. ISO/IEC 27002:2022), responsable y plazo, y estimar la probabilidad y el impacto residuales. El nivel residual, la necesidad de EIPD y el criterio de aceptación se calculan solos.</t>
  </si>
  <si>
    <t>Paso 4</t>
  </si>
  <si>
    <t>Fase 4 (monitoreo): definir el indicador, actualizar el estado y revisar la matriz periódicamente o ante incidentes. La hoja Mapa de calor resume los resultados.</t>
  </si>
  <si>
    <t>Reglas de la guía SPDP</t>
  </si>
  <si>
    <t>Toda estimación lleva su rationale; la probabilidad se refiere a un año; C, I, D y licitud se modelan por separado; el nivel se asigna por tabla (hoja Decisión), no multiplicando etiquetas; un impacto muy alto sobre el titular nunca queda por debajo de nivel alto.</t>
  </si>
  <si>
    <t>Confidencialidad</t>
  </si>
  <si>
    <t>No registrar datos personales reales. Describir procesos, sistemas y categorías de datos; usar códigos para personas (E01, E02…).</t>
  </si>
  <si>
    <t>Caso aplicado</t>
  </si>
  <si>
    <t>Este archivo contiene la matriz aplicada al caso simulado IES-S (Capítulo 3). Las hojas Delphi y Brier están vacías hasta que el panel de expertos participe; las estimaciones de la hoja Matriz son preliminares.</t>
  </si>
  <si>
    <t>Matriz de riesgos del tratamiento de datos personales — LOPDP</t>
  </si>
  <si>
    <t>Matriz aplicada al caso simulado IES-S (proceso de admisión y matrícula). Probabilidades e impactos: estimaciones preliminares del investigador, pendientes de calibración con el panel Delphi.</t>
  </si>
  <si>
    <t>Identificación del tratamiento</t>
  </si>
  <si>
    <t>Escenario de riesgo</t>
  </si>
  <si>
    <t>Riesgo inherente</t>
  </si>
  <si>
    <t>Tratamiento</t>
  </si>
  <si>
    <t>Riesgo residual</t>
  </si>
  <si>
    <t>Monitoreo</t>
  </si>
  <si>
    <t>ID</t>
  </si>
  <si>
    <t>Proceso / subproceso</t>
  </si>
  <si>
    <t>Actividad de tratamiento</t>
  </si>
  <si>
    <t>Categorías de datos</t>
  </si>
  <si>
    <t>¿Categoría especial?</t>
  </si>
  <si>
    <t>Titulares (tipo y n.º estimado)</t>
  </si>
  <si>
    <t>¿Grupo vulnerable?</t>
  </si>
  <si>
    <t>Activo / sistema</t>
  </si>
  <si>
    <t>Dimensión (C/I/D/Licitud)</t>
  </si>
  <si>
    <t>Comunidad de amenaza</t>
  </si>
  <si>
    <t>Vector</t>
  </si>
  <si>
    <t>Vulnerabilidad</t>
  </si>
  <si>
    <t>Tipo de vulnerabilidad</t>
  </si>
  <si>
    <t>Art. LOPDP / norma SPDP</t>
  </si>
  <si>
    <t>Control existente</t>
  </si>
  <si>
    <t>Probabilidad inherente (lapso anual)</t>
  </si>
  <si>
    <t>Rationale probabilidad</t>
  </si>
  <si>
    <t>Impacto inherente (titular)</t>
  </si>
  <si>
    <t>Impacto (responsable)</t>
  </si>
  <si>
    <t>Rationale impacto</t>
  </si>
  <si>
    <t>Agravantes (n.º)</t>
  </si>
  <si>
    <t>Impacto ajustado (titular)</t>
  </si>
  <si>
    <t>Nivel inherente</t>
  </si>
  <si>
    <t>Control propuesto (ref. ISO/IEC 27002)</t>
  </si>
  <si>
    <t>Responsable</t>
  </si>
  <si>
    <t>Plazo</t>
  </si>
  <si>
    <t>Probabilidad residual</t>
  </si>
  <si>
    <t>Impacto residual (ajustado)</t>
  </si>
  <si>
    <t>Nivel residual</t>
  </si>
  <si>
    <t>¿Requiere EIPD?</t>
  </si>
  <si>
    <t>Aceptación del riesgo residual</t>
  </si>
  <si>
    <t>Indicador de monitoreo</t>
  </si>
  <si>
    <t>Estado</t>
  </si>
  <si>
    <t>R-01</t>
  </si>
  <si>
    <t>SP3. Becas y aranceles diferenciados</t>
  </si>
  <si>
    <t>Recepción y almacenamiento de certificados de discapacidad y fichas socioeconómicas</t>
  </si>
  <si>
    <t>Discapacidad y salud; socioeconómicos; identificación</t>
  </si>
  <si>
    <t>Sí</t>
  </si>
  <si>
    <t>Postulantes a beca y su núcleo familiar (≈1 200)</t>
  </si>
  <si>
    <t>Carpetas compartidas en la nube (Bienestar Estudiantil)</t>
  </si>
  <si>
    <t>Personal interno (error humano); ciberdelincuencia</t>
  </si>
  <si>
    <t>Enlace de carpeta compartido como público o acceso con credenciales robadas</t>
  </si>
  <si>
    <t>Documentos recibidos por correo y guardados sin clasificación ni restricción de acceso</t>
  </si>
  <si>
    <t>Organizacional</t>
  </si>
  <si>
    <t>LOPDP arts. 25, 37 y 40</t>
  </si>
  <si>
    <t>Contraseña institucional sin MFA</t>
  </si>
  <si>
    <t>Media</t>
  </si>
  <si>
    <t>Estimación preliminar del investigador: la exposición por enlaces compartidos y el error humano son causas frecuentes de incidentes en universidades (Ulven y Wangen, 2021; Álvarez-Carrión y Hernández-Sotomayor, 2024); sin controles de fuga se espera aproximadamente un evento cada 1 a 2 años.</t>
  </si>
  <si>
    <t>Alto</t>
  </si>
  <si>
    <t>Exposición de discapacidad y condición socioeconómica: riesgo de discriminación y exclusión de beneficios. Agravante: categorías especiales y grupo vulnerable (art. 25).</t>
  </si>
  <si>
    <t>Mitigar</t>
  </si>
  <si>
    <t>5.12 Clasificación; 5.15 Control de acceso; 8.5 Autenticación multifactor; 8.12 Prevención de fuga; minimización (registrar solo la verificación del certificado)</t>
  </si>
  <si>
    <t>Dirección de TI y Bienestar Estudiantil</t>
  </si>
  <si>
    <t>3 meses</t>
  </si>
  <si>
    <t>Baja</t>
  </si>
  <si>
    <t>Medio</t>
  </si>
  <si>
    <t>N.º de enlaces públicos detectados por mes en carpetas restringidas (meta: 0)</t>
  </si>
  <si>
    <t>En tratamiento</t>
  </si>
  <si>
    <t>R-02</t>
  </si>
  <si>
    <t>SP1. Registro y postulación</t>
  </si>
  <si>
    <t>Gestión de postulaciones en el CRM de admisiones</t>
  </si>
  <si>
    <t>Identificación; contacto; fecha de nacimiento; colegio de procedencia</t>
  </si>
  <si>
    <t>No</t>
  </si>
  <si>
    <t>Aspirantes (≈5 000 por año), ≈10 % menores de edad</t>
  </si>
  <si>
    <t>CRM de admisiones (SaaS, encargado)</t>
  </si>
  <si>
    <t>Ciberdelincuencia organizada</t>
  </si>
  <si>
    <t>Phishing dirigido al personal de admisiones</t>
  </si>
  <si>
    <t>Autenticación solo con contraseña; personal temporal sin capacitación</t>
  </si>
  <si>
    <t>Técnica</t>
  </si>
  <si>
    <t>LOPDP arts. 25 y 37</t>
  </si>
  <si>
    <t>Filtro antispam del proveedor de correo</t>
  </si>
  <si>
    <t>Alta</t>
  </si>
  <si>
    <t>Estimación preliminar: el phishing es el vector inicial más frecuente en el sector educativo (Ulven y Wangen, 2021) y la temporada de admisión incrementa la exposición; se esperan uno o más compromisos de cuenta por año sin MFA.</t>
  </si>
  <si>
    <t>Datos de identificación y contacto utilizables para fraude o suplantación. Agravante: incluye adolescentes (grupo vulnerable).</t>
  </si>
  <si>
    <t>8.5 Autenticación multifactor; 6.3 Concienciación y formación; 5.18 Revisión de derechos de acceso; minimización de campos del formulario</t>
  </si>
  <si>
    <t>Dirección de TI y Admisiones</t>
  </si>
  <si>
    <t>2 meses</t>
  </si>
  <si>
    <t>% de cuentas con MFA (meta: 100 %); tasa de clics en simulaciones de phishing (meta: &lt; 5 %)</t>
  </si>
  <si>
    <t>R-03</t>
  </si>
  <si>
    <t>SP2. Admisión y nivelación</t>
  </si>
  <si>
    <t>Publicación de resultados de admisión</t>
  </si>
  <si>
    <t>Identificación (cédula); puntaje de admisión</t>
  </si>
  <si>
    <t>Aspirantes evaluados (≈2 500 por periodo)</t>
  </si>
  <si>
    <t>Portal web y redes sociales institucionales</t>
  </si>
  <si>
    <t>Licitud</t>
  </si>
  <si>
    <t>Responsable (falla organizacional)</t>
  </si>
  <si>
    <t>Publicación de listados nominales con cédula y puntaje</t>
  </si>
  <si>
    <t>Práctica heredada sin análisis de minimización</t>
  </si>
  <si>
    <t>LOPDP art. 37; principios de la LOPDP</t>
  </si>
  <si>
    <t>Ninguno</t>
  </si>
  <si>
    <t>Estimación preliminar: la práctica se repite en cada periodo, pero su materialización como exposición indebida depende de que el listado se difunda fuera del canal previsto; se estima un evento cada 1 a 2 años.</t>
  </si>
  <si>
    <t>Exposición pública del resultado académico vinculado a la identidad; posible estigmatización. Agravante: número masivo de titulares.</t>
  </si>
  <si>
    <t>Evitar</t>
  </si>
  <si>
    <t>8.11 Enmascaramiento de datos (publicar solo un código de postulante); consulta individual autenticada</t>
  </si>
  <si>
    <t>Admisiones</t>
  </si>
  <si>
    <t>Próximo periodo</t>
  </si>
  <si>
    <t>Muy baja</t>
  </si>
  <si>
    <t>Bajo</t>
  </si>
  <si>
    <t>N.º de listados nominales publicados por periodo (meta: 0)</t>
  </si>
  <si>
    <t>R-04</t>
  </si>
  <si>
    <t>Uso de datos de aspirantes para campañas de difusión</t>
  </si>
  <si>
    <t>Identificación; contacto</t>
  </si>
  <si>
    <t>Aspirantes (≈5 000 por año)</t>
  </si>
  <si>
    <t>CRM de admisiones; correo masivo</t>
  </si>
  <si>
    <t>Cláusula de consentimiento genérica utilizada para finalidades comerciales</t>
  </si>
  <si>
    <t>Consentimiento no diferenciado por finalidad</t>
  </si>
  <si>
    <t>Jurídica</t>
  </si>
  <si>
    <t>LOPDP (bases de legitimación y consentimiento)</t>
  </si>
  <si>
    <t>Cláusula genérica en el formulario</t>
  </si>
  <si>
    <t>Muy alta</t>
  </si>
  <si>
    <t>Estimación preliminar: el tratamiento sin base válida ocurre en cada envío de campañas, varias veces por año.</t>
  </si>
  <si>
    <t>Comunicaciones no deseadas y pérdida de control sobre los datos. Agravante: número masivo de titulares.</t>
  </si>
  <si>
    <t>5.34 Privacidad y protección de la información personal (consentimiento por finalidad y aviso de privacidad); 5.31 Requisitos legales</t>
  </si>
  <si>
    <t>Área jurídica y Admisiones</t>
  </si>
  <si>
    <t>1 mes</t>
  </si>
  <si>
    <t>% de registros de difusión con consentimiento específico (meta: 100 %)</t>
  </si>
  <si>
    <t>R-05</t>
  </si>
  <si>
    <t>SP5. Legalización de la matrícula</t>
  </si>
  <si>
    <t>Consulta y actualización del expediente en el SGA</t>
  </si>
  <si>
    <t>Expediente académico y personal completo</t>
  </si>
  <si>
    <t>Estudiantes matriculados (≈6 000)</t>
  </si>
  <si>
    <t>Sistema de gestión académica (SGA)</t>
  </si>
  <si>
    <t>Personal interno o temporal</t>
  </si>
  <si>
    <t>Consultas sin necesidad de conocer con perfiles asignados por unidad</t>
  </si>
  <si>
    <t>Perfiles de acceso por unidad y no por función; sin revisión periódica</t>
  </si>
  <si>
    <t>LOPDP art. 37</t>
  </si>
  <si>
    <t>Usuario y contraseña por funcionario</t>
  </si>
  <si>
    <t>Estimación preliminar: con privilegios excesivos y sin registro de accesos, las consultas indebidas son previsibles varias veces por año, en especial con personal de temporada.</t>
  </si>
  <si>
    <t>Acceso indebido a datos personales y académicos; posible uso para fines no autorizados.</t>
  </si>
  <si>
    <t>5.15 Control de acceso por función; 5.18 Revisión de derechos de acceso por periodo; 8.15 Registro de accesos</t>
  </si>
  <si>
    <t>Secretaría Académica y Dirección de TI</t>
  </si>
  <si>
    <t>4 meses</t>
  </si>
  <si>
    <t>% de perfiles revisados al cierre de cada periodo (meta: 100 %)</t>
  </si>
  <si>
    <t>Identificado</t>
  </si>
  <si>
    <t>R-06</t>
  </si>
  <si>
    <t>Registro de resultados de la prueba de admisión</t>
  </si>
  <si>
    <t>Puntajes; decisión de admisión</t>
  </si>
  <si>
    <t>Integridad</t>
  </si>
  <si>
    <t>Interno malicioso o atacante externo</t>
  </si>
  <si>
    <t>Cuenta privilegiada comprometida</t>
  </si>
  <si>
    <t>Cuentas administrativas compartidas; sin registro de cambios</t>
  </si>
  <si>
    <t>Respaldo diario de la base de datos</t>
  </si>
  <si>
    <t>Estimación preliminar: requiere intención y acceso privilegiado; hay antecedentes en el sector, pero son poco frecuentes.</t>
  </si>
  <si>
    <t>Admisión o rechazo indebido: pérdida de oportunidades académicas difícil de revertir.</t>
  </si>
  <si>
    <t>8.2 Derechos de acceso privilegiado (cuentas nominativas); 8.5 MFA; 8.15 Registro de cambios; segregación de funciones</t>
  </si>
  <si>
    <t>Dirección de TI</t>
  </si>
  <si>
    <t>N.º de cambios de puntaje sin orden de trabajo (meta: 0)</t>
  </si>
  <si>
    <t>R-07</t>
  </si>
  <si>
    <t>SP4. Pago de matrícula</t>
  </si>
  <si>
    <t>Cobro de matrícula mediante pasarela de pagos</t>
  </si>
  <si>
    <t>Datos de facturación; datos de tarjeta o cuenta del pagador</t>
  </si>
  <si>
    <t>Estudiantes y pagadores (≈6 000)</t>
  </si>
  <si>
    <t>Pasarela de pagos (encargado)</t>
  </si>
  <si>
    <t>Encargado del tratamiento; ciberdelincuencia</t>
  </si>
  <si>
    <t>Tratamiento por el proveedor sin obligaciones contractuales de protección de datos</t>
  </si>
  <si>
    <t>Contrato sin cláusulas de protección de datos ni de notificación de incidentes</t>
  </si>
  <si>
    <t>LOPDP; normativa SPDP sobre encargados</t>
  </si>
  <si>
    <t>Proveedor declara cumplir estándares de la industria de pagos</t>
  </si>
  <si>
    <t>Estimación preliminar: los proveedores de pago suelen tener controles maduros; el riesgo proviene sobre todo de la falta de garantías contractuales.</t>
  </si>
  <si>
    <t>Fraude financiero a estudiantes y pagadores.</t>
  </si>
  <si>
    <t>Transferir</t>
  </si>
  <si>
    <t>5.19 y 5.20 Seguridad en relaciones y acuerdos con proveedores (cláusulas de protección de datos y notificación de incidentes)</t>
  </si>
  <si>
    <t>Dirección Financiera y área jurídica</t>
  </si>
  <si>
    <t>6 meses</t>
  </si>
  <si>
    <t>% de encargados con cláusulas firmadas (meta: 100 %)</t>
  </si>
  <si>
    <t>R-08</t>
  </si>
  <si>
    <t>Operación del SGA durante el periodo de matrícula</t>
  </si>
  <si>
    <t>Estudiantes y aspirantes (≈8 500)</t>
  </si>
  <si>
    <t>SGA y servidores de base de datos</t>
  </si>
  <si>
    <t>Disponibilidad</t>
  </si>
  <si>
    <t>Ransomware tras compromiso de credenciales o vulnerabilidad sin parche</t>
  </si>
  <si>
    <t>Respaldos en línea accesibles desde la red; parcheo irregular</t>
  </si>
  <si>
    <t>LOPDP arts. 37 y 43</t>
  </si>
  <si>
    <t>Antivirus; respaldo diario en el mismo entorno</t>
  </si>
  <si>
    <t>Estimación preliminar: el 66 % de las IES encuestadas reportó un ataque de ransomware en el último año (Sophos, 2024); con controles parciales se estima un evento cada 1 a 2 años.</t>
  </si>
  <si>
    <t>Muy alto</t>
  </si>
  <si>
    <t>Interrupción de la matrícula y pérdida de oportunidades académicas. Agravante: número masivo de titulares.</t>
  </si>
  <si>
    <t>8.13 Copias de seguridad aisladas y probadas; 8.8 Gestión de vulnerabilidades técnicas; 8.7 Protección contra malware; 5.24 y 5.26 Respuesta a incidentes</t>
  </si>
  <si>
    <t>Tiempo de restauración en la prueba trimestral (meta: &lt; 24 h); % de parches críticos aplicados en 15 días</t>
  </si>
  <si>
    <t>R-09</t>
  </si>
  <si>
    <t>Almacenamiento de expedientes de becas en servidores institucionales</t>
  </si>
  <si>
    <t>Postulantes a beca y núcleo familiar (≈1 200)</t>
  </si>
  <si>
    <t>Servidor de archivos y respaldos</t>
  </si>
  <si>
    <t>Exfiltración previa al cifrado en un ataque de ransomware (doble extorsión)</t>
  </si>
  <si>
    <t>Datos sensibles sin cifrado en reposo; sin monitoreo de salida de datos</t>
  </si>
  <si>
    <t>LOPDP arts. 25, 37, 40 y 43</t>
  </si>
  <si>
    <t>Antivirus</t>
  </si>
  <si>
    <t>Estimación preliminar: en el caso de la UTFSM (2024) se publicaron 14 GB de datos de estudiantes tras un ataque; la exfiltración acompaña con frecuencia al ransomware en el sector.</t>
  </si>
  <si>
    <t>Publicación de datos de discapacidad y socioeconómicos. Agravantes: categorías especiales y grupo vulnerable; vulneración intencional.</t>
  </si>
  <si>
    <t>8.24 Cifrado en reposo; 8.12 Prevención de fuga; 8.16 Monitoreo de actividades; 8.10 Eliminación de lo que no se necesita</t>
  </si>
  <si>
    <t>% de repositorios sensibles cifrados (meta: 100 %); alertas de exfiltración atendidas en &lt; 24 h</t>
  </si>
  <si>
    <t>R-10</t>
  </si>
  <si>
    <t>SP6. Reportes y archivo</t>
  </si>
  <si>
    <t>Conservación de expedientes de aspirantes no admitidos</t>
  </si>
  <si>
    <t>Identificación; académicos; en algunos casos socioeconómicos</t>
  </si>
  <si>
    <t>Aspirantes no admitidos de periodos anteriores (≈10 000 acumulados)</t>
  </si>
  <si>
    <t>SGA y repositorios de archivo</t>
  </si>
  <si>
    <t>Conservación indefinida sin finalidad vigente</t>
  </si>
  <si>
    <t>Ausencia de política de conservación y eliminación</t>
  </si>
  <si>
    <t>LOPDP; Res. SPDP sobre anonimización y eliminación</t>
  </si>
  <si>
    <t>Estimación preliminar: la conservación sin finalidad es una condición permanente que se renueva cada periodo.</t>
  </si>
  <si>
    <t>Tratamiento sin finalidad y mayor superficie de exposición. Agravante: número masivo de titulares acumulados.</t>
  </si>
  <si>
    <t>8.10 Eliminación de la información (tabla de conservación y eliminación periódica); 5.9 Inventario</t>
  </si>
  <si>
    <t>Secretaría Académica y área jurídica</t>
  </si>
  <si>
    <t>N.º de expedientes vencidos sin eliminar (meta: 0)</t>
  </si>
  <si>
    <t>R-11</t>
  </si>
  <si>
    <t>Uso de formularios y almacenamiento en la nube de un proveedor extranjero</t>
  </si>
  <si>
    <t>Discapacidad y salud; socioeconómicos</t>
  </si>
  <si>
    <t>Postulantes a beca (≈1 200)</t>
  </si>
  <si>
    <t>Suite de productividad en la nube</t>
  </si>
  <si>
    <t>Transferencia internacional sin evaluación de garantías</t>
  </si>
  <si>
    <t>No se ha evaluado la transferencia ni se han revisado las condiciones del proveedor</t>
  </si>
  <si>
    <t>LOPDP; normativa SPDP sobre transferencias</t>
  </si>
  <si>
    <t>Términos de servicio estándar del proveedor</t>
  </si>
  <si>
    <t>Estimación preliminar: la transferencia es continua, pero la materialización del daño depende de un uso indebido o de un requerimiento extranjero, poco frecuente.</t>
  </si>
  <si>
    <t>Pérdida de control sobre datos sensibles. Agravante: categorías especiales.</t>
  </si>
  <si>
    <t>5.19 y 5.20 Acuerdos con proveedores; 5.31 Requisitos legales (evaluación de la transferencia)</t>
  </si>
  <si>
    <t>Área jurídica y Dirección de TI</t>
  </si>
  <si>
    <t>% de servicios en la nube con evaluación de transferencia (meta: 100 %)</t>
  </si>
  <si>
    <t>R-12</t>
  </si>
  <si>
    <t>Gestión de vulneraciones de seguridad que afectan datos del proceso</t>
  </si>
  <si>
    <t>Todas las del proceso</t>
  </si>
  <si>
    <t>Procesos de respuesta a incidentes</t>
  </si>
  <si>
    <t>Vulneración no detectada o notificada fuera del término legal</t>
  </si>
  <si>
    <t>Sin procedimiento documentado de gestión y notificación de vulneraciones</t>
  </si>
  <si>
    <t>LOPDP art. 43</t>
  </si>
  <si>
    <t>Mesa de ayuda de TI</t>
  </si>
  <si>
    <t>Estimación preliminar: depende de la ocurrencia de un incidente (R-01, R-08, R-09); sin procedimiento, la notificación tardía es probable ante cualquiera de ellos.</t>
  </si>
  <si>
    <t>Los titulares no reciben información a tiempo para protegerse.</t>
  </si>
  <si>
    <t>5.24 Planificación de la gestión de incidentes; 5.26 Respuesta; simulacro anual</t>
  </si>
  <si>
    <t>Dirección de TI y delegado de protección de datos</t>
  </si>
  <si>
    <t>% de vulneraciones notificadas dentro del término (meta: 100 %); simulacro anual realizado</t>
  </si>
  <si>
    <t>R-13</t>
  </si>
  <si>
    <t>Recepción de postulaciones en línea</t>
  </si>
  <si>
    <t>Aspirantes (≈2 500 por periodo)</t>
  </si>
  <si>
    <t>Portal web de postulación</t>
  </si>
  <si>
    <t>Fallas técnicas; ataque de denegación de servicio</t>
  </si>
  <si>
    <t>Saturación del portal en el cierre de postulaciones</t>
  </si>
  <si>
    <t>Capacidad no dimensionada para picos de demanda</t>
  </si>
  <si>
    <t>Monitoreo básico del servidor</t>
  </si>
  <si>
    <t>Estimación preliminar: los picos de demanda se producen en cada cierre de postulación (dos por año) y han causado indisponibilidad parcial.</t>
  </si>
  <si>
    <t>Retrasos en la postulación, superables con ampliación de plazos.</t>
  </si>
  <si>
    <t>8.6 Gestión de la capacidad; acuerdo de nivel de servicio con el proveedor de alojamiento</t>
  </si>
  <si>
    <t>Disponibilidad del portal en la semana de cierre (meta: ≥ 99 %)</t>
  </si>
  <si>
    <t>Tabla de decisión del nivel de riesgo</t>
  </si>
  <si>
    <t>El nivel se asigna por tabla, no por multiplicación (guía SPDP V.2). Impacto muy alto ⇒ nivel mínimo alto.</t>
  </si>
  <si>
    <t>Probabilidad / Impacto</t>
  </si>
  <si>
    <t>Muy bajo</t>
  </si>
  <si>
    <t>Criterios de aceptación del riesgo</t>
  </si>
  <si>
    <t>Nivel</t>
  </si>
  <si>
    <t>Criterio</t>
  </si>
  <si>
    <t>Aceptable. Registrar la decisión y monitorear periódicamente.</t>
  </si>
  <si>
    <t>Tratar dentro del plan anual, salvo aceptación formal y justificada de la dirección.</t>
  </si>
  <si>
    <t>Tratamiento prioritario. Si afecta categorías especiales o tratamiento a gran escala, activar EIPD (art. 42 LOPDP).</t>
  </si>
  <si>
    <t>Tratamiento prioritario y EIPD. Con impacto muy alto sobre el titular, no puede aceptarse sin observaciones del DPD y del área jurídica y aprobación de la máxima autoridad.</t>
  </si>
  <si>
    <t>Fuente: Capítulo 2, Tablas de decisión y criterios de aceptación; Guía SPDP V.2 (Res. SPDP-SPD-2026-0012-R).</t>
  </si>
  <si>
    <t>Escalas de probabilidad e impacto</t>
  </si>
  <si>
    <t>Versión inicial propuesta en el Capítulo 2; se calibra con el panel Delphi antes de aplicarla.</t>
  </si>
  <si>
    <t>Probabilidad (lapso anual)</t>
  </si>
  <si>
    <t>Valor ordinal</t>
  </si>
  <si>
    <t>Frecuencia anual esperada</t>
  </si>
  <si>
    <t>Descripción orientativa</t>
  </si>
  <si>
    <t>Menos de una vez cada 10 años</t>
  </si>
  <si>
    <t>Sin antecedentes en la institución ni en el sector; la amenaza requiere capacidades poco comunes.</t>
  </si>
  <si>
    <t>Una vez cada 2 a 10 años</t>
  </si>
  <si>
    <t>Antecedentes en el sector, pero los controles existentes dificultan su materialización.</t>
  </si>
  <si>
    <t>Aproximadamente una vez cada 1 a 2 años</t>
  </si>
  <si>
    <t>Antecedentes en IES similares y controles parciales.</t>
  </si>
  <si>
    <t>Entre 1 y 5 veces por año</t>
  </si>
  <si>
    <t>El evento ha ocurrido en la institución o la vulnerabilidad es conocida y explotable.</t>
  </si>
  <si>
    <t>Más de 5 veces por año</t>
  </si>
  <si>
    <t>El evento es recurrente o la vulnerabilidad se explota con facilidad.</t>
  </si>
  <si>
    <t>Impacto sobre el titular (adaptado de ENISA, 2013)</t>
  </si>
  <si>
    <t>Consecuencias para el titular</t>
  </si>
  <si>
    <t>Molestias menores que el titular supera sin dificultad (por ejemplo, reingresar información).</t>
  </si>
  <si>
    <t>Inconvenientes que el titular supera con algún esfuerzo (costos menores, tiempo, molestias).</t>
  </si>
  <si>
    <t>Consecuencias significativas que puede superar con dificultad (pérdida de oportunidades académicas, cargos indebidos reversibles, temor o estrés).</t>
  </si>
  <si>
    <t>Consecuencias graves, difíciles de superar (fraude o suplantación de identidad, discriminación, exclusión de beneficios, daño reputacional).</t>
  </si>
  <si>
    <t>Consecuencias irreversibles o que afectan derechos fundamentales, la salud o la integridad (exposición de datos de salud o discapacidad, afectación a menores de edad).</t>
  </si>
  <si>
    <t>Impacto sobre el responsable (perspectiva secundaria)</t>
  </si>
  <si>
    <t>Consecuencias para la institución</t>
  </si>
  <si>
    <t>Sin consecuencias legales ni económicas relevantes.</t>
  </si>
  <si>
    <t>Requerimiento u observación de la autoridad sin sanción; costos de respuesta menores.</t>
  </si>
  <si>
    <t>Medidas correctivas ordenadas por la SPDP; costos de respuesta moderados; cobertura mediática local.</t>
  </si>
  <si>
    <t>Sanción administrativa; costos de respuesta significativos; afectación reputacional nacional.</t>
  </si>
  <si>
    <t>Sanción por infracción grave (art. 72 LOPDP); interrupción del servicio académico; pérdida de confianza masiva.</t>
  </si>
  <si>
    <t>Criterios agravantes del impacto (cada uno suma un nivel; máximo: Muy alto)</t>
  </si>
  <si>
    <t>Fundamento</t>
  </si>
  <si>
    <t>Ejemplo en matrícula</t>
  </si>
  <si>
    <t>Categorías especiales de datos o grupos vulnerables (incluidos adolescentes)</t>
  </si>
  <si>
    <t>LOPDP art. 25; guía SPDP</t>
  </si>
  <si>
    <t>Certificados de discapacidad; aspirantes menores de edad</t>
  </si>
  <si>
    <t>Número de titulares afectados superior al umbral masivo definido por la institución</t>
  </si>
  <si>
    <t>Guía SPDP</t>
  </si>
  <si>
    <t>Base completa de aspirantes del periodo</t>
  </si>
  <si>
    <t>Vulneración intencional o datos combinables que facilitan la identificación</t>
  </si>
  <si>
    <t>Guía SPDP; ENISA (2013)</t>
  </si>
  <si>
    <t>Exfiltración por atacante con cédula + datos socioeconómicos</t>
  </si>
  <si>
    <t>Catálogo de amenazas (proceso de admisión y matrícula)</t>
  </si>
  <si>
    <t>Punto de partida; ampliar en la fase de identificación.</t>
  </si>
  <si>
    <t>Amenaza</t>
  </si>
  <si>
    <t>Vector típico</t>
  </si>
  <si>
    <t>Dimensiones</t>
  </si>
  <si>
    <t>Subprocesos</t>
  </si>
  <si>
    <t>AM-01</t>
  </si>
  <si>
    <t>Phishing y robo de credenciales institucionales</t>
  </si>
  <si>
    <t>Correo fraudulento dirigido al personal de admisiones</t>
  </si>
  <si>
    <t>C, I</t>
  </si>
  <si>
    <t>SP1–SP5</t>
  </si>
  <si>
    <t>AM-02</t>
  </si>
  <si>
    <t>Ransomware</t>
  </si>
  <si>
    <t>Credenciales comprometidas; vulnerabilidades sin parche</t>
  </si>
  <si>
    <t>C, I, D</t>
  </si>
  <si>
    <t>Todos</t>
  </si>
  <si>
    <t>AM-03</t>
  </si>
  <si>
    <t>Acceso indebido por privilegios excesivos</t>
  </si>
  <si>
    <t>Perfiles por unidad y no por función en el SGA</t>
  </si>
  <si>
    <t>C</t>
  </si>
  <si>
    <t>SP2, SP3, SP5</t>
  </si>
  <si>
    <t>AM-04</t>
  </si>
  <si>
    <t>Exposición por enlaces o carpetas compartidas</t>
  </si>
  <si>
    <t>Personal interno (error humano)</t>
  </si>
  <si>
    <t>Enlace "cualquiera con el enlace" en la nube</t>
  </si>
  <si>
    <t>SP3, SP6</t>
  </si>
  <si>
    <t>AM-05</t>
  </si>
  <si>
    <t>Publicación de listados con datos personales</t>
  </si>
  <si>
    <t>Listas de admitidos con cédula y calificaciones en canales públicos</t>
  </si>
  <si>
    <t>C, Licitud</t>
  </si>
  <si>
    <t>SP2</t>
  </si>
  <si>
    <t>AM-06</t>
  </si>
  <si>
    <t>Tratamiento por proveedor sin garantías contractuales</t>
  </si>
  <si>
    <t>Encargados (proveedores SaaS)</t>
  </si>
  <si>
    <t>Contrato sin cláusulas de protección de datos</t>
  </si>
  <si>
    <t>SP1, SP4, SP5</t>
  </si>
  <si>
    <t>AM-07</t>
  </si>
  <si>
    <t>Conservación indefinida de expedientes</t>
  </si>
  <si>
    <t>Licitud, C</t>
  </si>
  <si>
    <t>SP6</t>
  </si>
  <si>
    <t>AM-08</t>
  </si>
  <si>
    <t>Uso de datos para finalidades no informadas</t>
  </si>
  <si>
    <t>Consentimiento genérico usado para marketing</t>
  </si>
  <si>
    <t>SP1</t>
  </si>
  <si>
    <t>AM-09</t>
  </si>
  <si>
    <t>Fraude en pagos o suplantación del pagador</t>
  </si>
  <si>
    <t>Ciberdelincuencia</t>
  </si>
  <si>
    <t>Manipulación de comprobantes; compromiso de la pasarela</t>
  </si>
  <si>
    <t>SP4</t>
  </si>
  <si>
    <t>AM-10</t>
  </si>
  <si>
    <t>Alteración de calificaciones o resultados de admisión</t>
  </si>
  <si>
    <t>I</t>
  </si>
  <si>
    <t>AM-11</t>
  </si>
  <si>
    <t>Indisponibilidad del portal en el periodo de postulación</t>
  </si>
  <si>
    <t>Fallas técnicas o ataque de denegación de servicio</t>
  </si>
  <si>
    <t>Saturación; fallo del proveedor</t>
  </si>
  <si>
    <t>D</t>
  </si>
  <si>
    <t>SP1, SP4</t>
  </si>
  <si>
    <t>AM-12</t>
  </si>
  <si>
    <t>Pérdida de documentación por falta de respaldo</t>
  </si>
  <si>
    <t>Fallas técnicas o error humano</t>
  </si>
  <si>
    <t>Borrado accidental sin copia de seguridad</t>
  </si>
  <si>
    <t>D, I</t>
  </si>
  <si>
    <t>SP3, SP5</t>
  </si>
  <si>
    <t>Catálogo de controles (referencia ISO/IEC 27002:2022)</t>
  </si>
  <si>
    <t>Controles candidatos para el tratamiento de riesgos del proceso de matrícula.</t>
  </si>
  <si>
    <t>Ref. ISO/IEC 27002:2022</t>
  </si>
  <si>
    <t>Control</t>
  </si>
  <si>
    <t>Tipo</t>
  </si>
  <si>
    <t>Aplicación en el proceso de matrícula</t>
  </si>
  <si>
    <t>5.1</t>
  </si>
  <si>
    <t>Políticas de seguridad de la información</t>
  </si>
  <si>
    <t>Política de protección de datos del proceso de admisión</t>
  </si>
  <si>
    <t>5.9</t>
  </si>
  <si>
    <t>Inventario de información y otros activos asociados</t>
  </si>
  <si>
    <t>RAT y registro de repositorios con datos de aspirantes</t>
  </si>
  <si>
    <t>5.12</t>
  </si>
  <si>
    <t>Clasificación de la información</t>
  </si>
  <si>
    <t>Etiquetar como restringidos los certificados de discapacidad y fichas socioeconómicas</t>
  </si>
  <si>
    <t>5.15</t>
  </si>
  <si>
    <t>Control de acceso</t>
  </si>
  <si>
    <t>Técnico</t>
  </si>
  <si>
    <t>Acceso por función a carpetas y módulos del SGA</t>
  </si>
  <si>
    <t>5.18</t>
  </si>
  <si>
    <t>Derechos de acceso</t>
  </si>
  <si>
    <t>Revisión de accesos al cierre de cada periodo de admisión</t>
  </si>
  <si>
    <t>5.19 / 5.20</t>
  </si>
  <si>
    <t>Seguridad en relaciones y acuerdos con proveedores</t>
  </si>
  <si>
    <t>Jurídico</t>
  </si>
  <si>
    <t>Cláusulas de protección de datos con pasarela, CRM, nube y LMS</t>
  </si>
  <si>
    <t>5.24 / 5.26</t>
  </si>
  <si>
    <t>Planificación y respuesta a incidentes</t>
  </si>
  <si>
    <t>Procedimiento de notificación en el término del art. 43 LOPDP</t>
  </si>
  <si>
    <t>5.31</t>
  </si>
  <si>
    <t>Requisitos legales, regulatorios y contractuales</t>
  </si>
  <si>
    <t>Matriz de requisitos LOPDP, RLOPDP y resoluciones SPDP</t>
  </si>
  <si>
    <t>5.34</t>
  </si>
  <si>
    <t>Privacidad y protección de la información personal</t>
  </si>
  <si>
    <t>Consentimiento por finalidad; aviso de privacidad del formulario</t>
  </si>
  <si>
    <t>6.3</t>
  </si>
  <si>
    <t>Concienciación, educación y formación</t>
  </si>
  <si>
    <t>Capacitación al personal de admisiones y temporal</t>
  </si>
  <si>
    <t>8.2</t>
  </si>
  <si>
    <t>Derechos de acceso privilegiado</t>
  </si>
  <si>
    <t>Cuentas administrativas separadas y registradas</t>
  </si>
  <si>
    <t>8.5</t>
  </si>
  <si>
    <t>Autenticación segura</t>
  </si>
  <si>
    <t>Autenticación multifactor para personal con acceso a datos de aspirantes</t>
  </si>
  <si>
    <t>8.6</t>
  </si>
  <si>
    <t>Gestión de la capacidad</t>
  </si>
  <si>
    <t>Dimensionar el portal para los cierres de postulación</t>
  </si>
  <si>
    <t>8.7</t>
  </si>
  <si>
    <t>Protección contra malware</t>
  </si>
  <si>
    <t>Protección de puestos de trabajo y servidores del proceso</t>
  </si>
  <si>
    <t>8.8</t>
  </si>
  <si>
    <t>Gestión de vulnerabilidades técnicas</t>
  </si>
  <si>
    <t>Parcheo del SGA, portal y servidores en plazos definidos</t>
  </si>
  <si>
    <t>8.10</t>
  </si>
  <si>
    <t>Eliminación de la información</t>
  </si>
  <si>
    <t>Eliminación de expedientes de no admitidos al vencer el plazo</t>
  </si>
  <si>
    <t>8.11</t>
  </si>
  <si>
    <t>Enmascaramiento de datos</t>
  </si>
  <si>
    <t>Seudonimizar reportes y listados de admitidos</t>
  </si>
  <si>
    <t>8.12</t>
  </si>
  <si>
    <t>Prevención de fuga de datos</t>
  </si>
  <si>
    <t>Bloquear enlaces públicos en carpetas restringidas</t>
  </si>
  <si>
    <t>8.13</t>
  </si>
  <si>
    <t>Copias de seguridad de la información</t>
  </si>
  <si>
    <t>Respaldo cifrado de expedientes</t>
  </si>
  <si>
    <t>8.15 / 8.16</t>
  </si>
  <si>
    <t>Registro y monitoreo de actividades</t>
  </si>
  <si>
    <t>Registro de accesos a fichas socioeconómicas</t>
  </si>
  <si>
    <t>8.24</t>
  </si>
  <si>
    <t>Uso de criptografía</t>
  </si>
  <si>
    <t>Cifrado en tránsito y en reposo de documentos sensibles</t>
  </si>
  <si>
    <t>Registro de estimaciones Delphi</t>
  </si>
  <si>
    <t>Valores ordinales 1–5 (1 = Muy baja/Muy bajo … 5 = Muy alta/Muy alto). Consenso: RIC ≤ 1. Máximo tres rondas.</t>
  </si>
  <si>
    <t>ID escenario</t>
  </si>
  <si>
    <t>Variable</t>
  </si>
  <si>
    <t>Ronda</t>
  </si>
  <si>
    <t>E01</t>
  </si>
  <si>
    <t>E02</t>
  </si>
  <si>
    <t>E03</t>
  </si>
  <si>
    <t>E04</t>
  </si>
  <si>
    <t>E05</t>
  </si>
  <si>
    <t>Mediana</t>
  </si>
  <si>
    <t>Q1</t>
  </si>
  <si>
    <t>Q3</t>
  </si>
  <si>
    <t>RIC</t>
  </si>
  <si>
    <t>¿Consenso?</t>
  </si>
  <si>
    <t>Nivel (mediana)</t>
  </si>
  <si>
    <t>Media ponderada (Brier)</t>
  </si>
  <si>
    <t>Nivel (ponderado)</t>
  </si>
  <si>
    <t>La fila 5 es un EJEMPLO ficticio; borrarla antes de aplicar el instrumento. La media ponderada usa los pesos de la hoja Brier y requiere las cinco respuestas.</t>
  </si>
  <si>
    <t>Calibración de expertos — puntaje de Brier</t>
  </si>
  <si>
    <t>Cada experto indica la probabilidad (0 a 1) de que la afirmación sea verdadera. BS = (1/N)·Σ(f − o)². Umbral: BS ≤ 0,25.</t>
  </si>
  <si>
    <t>Afirmación de calibración</t>
  </si>
  <si>
    <t>Resultado real (1 = verdadera, 0 = falsa)</t>
  </si>
  <si>
    <t>Fuente de verificación</t>
  </si>
  <si>
    <t>C01</t>
  </si>
  <si>
    <t>La LOPDP se publicó en el Registro Oficial en 2021.</t>
  </si>
  <si>
    <t>R.O. Quinto Supl. 459, 26-05-2021</t>
  </si>
  <si>
    <t>C02</t>
  </si>
  <si>
    <t>El art. 43 de la LOPDP fija un término de cinco días para notificar vulneraciones a la autoridad.</t>
  </si>
  <si>
    <t>C03</t>
  </si>
  <si>
    <t>ISO/IEC 27005:2022 es una norma certificable.</t>
  </si>
  <si>
    <t>ISO/IEC 27005:2022 (norma de orientación)</t>
  </si>
  <si>
    <t>C04</t>
  </si>
  <si>
    <t>El Reglamento General a la LOPDP se expidió mediante Decreto Ejecutivo N.º 904.</t>
  </si>
  <si>
    <t>R.O. Tercer Supl. 435, 13-11-2023</t>
  </si>
  <si>
    <t>C05</t>
  </si>
  <si>
    <t>Según Sophos (2024), más del 60 % de las IES encuestadas sufrió ransomware en el último año.</t>
  </si>
  <si>
    <t>Sophos, State of Ransomware in Education 2024 (66 %)</t>
  </si>
  <si>
    <t>C06</t>
  </si>
  <si>
    <t>ISO/IEC 27002:2022 agrupa sus controles en cuatro temas.</t>
  </si>
  <si>
    <t>ISO/IEC 27002:2022</t>
  </si>
  <si>
    <t>C07</t>
  </si>
  <si>
    <t>ISO/IEC 27002:2022 contiene más de 100 controles.</t>
  </si>
  <si>
    <t>ISO/IEC 27002:2022 (93 controles)</t>
  </si>
  <si>
    <t>C08</t>
  </si>
  <si>
    <t>El RGPD europeo es aplicable desde mayo de 2018.</t>
  </si>
  <si>
    <t>Reglamento (UE) 2016/679, art. 99</t>
  </si>
  <si>
    <t>C09</t>
  </si>
  <si>
    <t>LINDDUN incluye la categoría de amenaza "Spoofing".</t>
  </si>
  <si>
    <t>Deng et al. (2011)</t>
  </si>
  <si>
    <t>C10</t>
  </si>
  <si>
    <t>La Res. SPDP-SPD-2026-0005-R regula el tratamiento de datos personales a gran escala.</t>
  </si>
  <si>
    <t>R.O. Supl. 231, 25-02-2026</t>
  </si>
  <si>
    <t>Puntaje de Brier (BS)</t>
  </si>
  <si>
    <t>Peso para ponderación (1 − BS si calibrado; 0 si no)</t>
  </si>
  <si>
    <t>Calibración</t>
  </si>
  <si>
    <t>La columna E01 contiene valores de EJEMPLO; borrarlos antes de aplicar el instrumento. El BS se calcula solo cuando el experto responde las 10 afirmaciones.</t>
  </si>
  <si>
    <t>Mapa de calor (representación, no calibración)</t>
  </si>
  <si>
    <t>Número de escenarios por celda, calculado desde la hoja Matriz.</t>
  </si>
  <si>
    <t>Resumen por nivel</t>
  </si>
  <si>
    <t>Inherente</t>
  </si>
  <si>
    <t>Residual</t>
  </si>
  <si>
    <t>Total</t>
  </si>
  <si>
    <t>Probabilidad</t>
  </si>
  <si>
    <t>Impacto</t>
  </si>
  <si>
    <t>Sí/No</t>
  </si>
  <si>
    <t>Dimensión</t>
  </si>
  <si>
    <t>Agravantes</t>
  </si>
  <si>
    <t>Subproceso</t>
  </si>
  <si>
    <t>Nivel de riesgo</t>
  </si>
  <si>
    <t>Tratado</t>
  </si>
  <si>
    <t>Grupos vulnerables de titulares</t>
  </si>
  <si>
    <t>Aceptar</t>
  </si>
  <si>
    <t>Aceptado</t>
  </si>
  <si>
    <t>Cerrado</t>
  </si>
  <si>
    <t>Hoja de soporte: valores de las listas desplegables. Modificar solo si cambian los criterios aprobados.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</si>
</sst>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color theme="1"/>
      <family val="2"/>
      <scheme val="minor"/>
      <sz val="11"/>
      <name val="Calibri"/>
    </font>
    <font>
      <b/>
      <color rgb="FF1F3864"/>
      <sz val="14"/>
      <name val="Arial"/>
    </font>
    <font>
      <i/>
      <sz val="9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  <font>
      <b/>
      <sz val="12"/>
      <name val="Arial"/>
    </font>
    <font>
      <i/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EDEDED"/>
      </patternFill>
    </fill>
    <fill>
      <patternFill patternType="solid">
        <fgColor rgb="FFFFEB9C"/>
      </patternFill>
    </fill>
    <fill>
      <patternFill patternType="solid">
        <fgColor rgb="FFF8CBAD"/>
      </patternFill>
    </fill>
    <fill>
      <patternFill patternType="solid">
        <fgColor rgb="FFFF7C80"/>
      </patternFill>
    </fill>
    <fill>
      <patternFill patternType="solid">
        <fgColor rgb="FFE2EFDA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6" fillId="0" borderId="0" xfId="0" applyFont="1"/>
    <xf numFmtId="0" fontId="4" fillId="10" borderId="1" xfId="0" applyFont="1" applyFill="1" applyBorder="1"/>
    <xf numFmtId="0" fontId="4" fillId="0" borderId="1" xfId="0" applyFont="1" applyBorder="1" applyAlignment="1">
      <alignment vertical="top" wrapText="1"/>
    </xf>
    <xf numFmtId="0" fontId="4" fillId="9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2" borderId="1" xfId="0" applyFont="1" applyFill="1" applyBorder="1"/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0" fontId="4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0" xfId="0" applyFont="1"/>
    <xf numFmtId="0" fontId="3" fillId="0" borderId="0" xfId="0" applyFont="1"/>
    <xf numFmtId="164" fontId="4" fillId="5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0" borderId="1" xfId="0" applyFont="1" applyBorder="1"/>
  </cellXfs>
  <cellStyles count="1">
    <cellStyle name="Normal" xfId="0" builtinId="0"/>
  </cellStyles>
  <dxfs count="15"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E2EFDA"/>
        </patternFill>
      </fill>
    </dxf>
    <dxf>
      <font>
        <b/>
      </font>
      <fill>
        <patternFill patternType="solid">
          <bgColor rgb="FFFFEB9C"/>
        </patternFill>
      </fill>
    </dxf>
    <dxf>
      <font>
        <b/>
      </font>
      <fill>
        <patternFill patternType="solid">
          <bgColor rgb="FFF8CBAD"/>
        </patternFill>
      </fill>
    </dxf>
    <dxf>
      <font>
        <b/>
      </font>
      <fill>
        <patternFill patternType="solid">
          <bgColor rgb="FFFF7C80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E2EFDA"/>
        </patternFill>
      </fill>
    </dxf>
    <dxf>
      <font>
        <b/>
      </font>
      <fill>
        <patternFill patternType="solid">
          <bgColor rgb="FFFFEB9C"/>
        </patternFill>
      </fill>
    </dxf>
    <dxf>
      <font>
        <b/>
      </font>
      <fill>
        <patternFill patternType="solid">
          <bgColor rgb="FFF8CBAD"/>
        </patternFill>
      </fill>
    </dxf>
    <dxf>
      <font>
        <b/>
      </font>
      <fill>
        <patternFill patternType="solid">
          <bgColor rgb="FFFF7C80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E2EFDA"/>
        </patternFill>
      </fill>
    </dxf>
    <dxf>
      <font>
        <b/>
      </font>
      <fill>
        <patternFill patternType="solid">
          <bgColor rgb="FFFFEB9C"/>
        </patternFill>
      </fill>
    </dxf>
    <dxf>
      <font>
        <b/>
      </font>
      <fill>
        <patternFill patternType="solid">
          <bgColor rgb="FFF8CBAD"/>
        </patternFill>
      </fill>
    </dxf>
    <dxf>
      <font>
        <b/>
      </font>
      <fill>
        <patternFill patternType="solid"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2" customWidth="1"/>
    <col min="2" max="2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ht="48" customHeight="1" spans="1:2" x14ac:dyDescent="0.25">
      <c r="A4" s="3" t="s">
        <v>2</v>
      </c>
      <c r="B4" s="4" t="s">
        <v>3</v>
      </c>
    </row>
    <row r="5" ht="48" customHeight="1" spans="1:2" x14ac:dyDescent="0.25">
      <c r="A5" s="3" t="s">
        <v>4</v>
      </c>
      <c r="B5" s="5" t="s">
        <v>5</v>
      </c>
    </row>
    <row r="6" ht="48" customHeight="1" spans="1:2" x14ac:dyDescent="0.25">
      <c r="A6" s="3" t="s">
        <v>6</v>
      </c>
      <c r="B6" s="4" t="s">
        <v>7</v>
      </c>
    </row>
    <row r="7" ht="48" customHeight="1" spans="1:2" x14ac:dyDescent="0.25">
      <c r="A7" s="3" t="s">
        <v>8</v>
      </c>
      <c r="B7" s="4" t="s">
        <v>9</v>
      </c>
    </row>
    <row r="8" ht="48" customHeight="1" spans="1:2" x14ac:dyDescent="0.25">
      <c r="A8" s="3" t="s">
        <v>10</v>
      </c>
      <c r="B8" s="4" t="s">
        <v>11</v>
      </c>
    </row>
    <row r="9" ht="48" customHeight="1" spans="1:2" x14ac:dyDescent="0.25">
      <c r="A9" s="3" t="s">
        <v>12</v>
      </c>
      <c r="B9" s="4" t="s">
        <v>13</v>
      </c>
    </row>
    <row r="10" ht="48" customHeight="1" spans="1:2" x14ac:dyDescent="0.25">
      <c r="A10" s="3" t="s">
        <v>14</v>
      </c>
      <c r="B10" s="4" t="s">
        <v>15</v>
      </c>
    </row>
    <row r="11" ht="48" customHeight="1" spans="1:2" x14ac:dyDescent="0.25">
      <c r="A11" s="3" t="s">
        <v>16</v>
      </c>
      <c r="B11" s="4" t="s">
        <v>17</v>
      </c>
    </row>
    <row r="12" ht="48" customHeight="1" spans="1:2" x14ac:dyDescent="0.25">
      <c r="A12" s="3" t="s">
        <v>18</v>
      </c>
      <c r="B12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2" max="2" width="24" customWidth="1"/>
    <col min="3" max="3" width="30" customWidth="1"/>
    <col min="4" max="4" width="26" customWidth="1"/>
    <col min="5" max="5" width="11" customWidth="1"/>
    <col min="6" max="6" width="22" customWidth="1"/>
    <col min="7" max="7" width="11" customWidth="1"/>
    <col min="8" max="8" width="22" customWidth="1"/>
    <col min="9" max="9" width="16" customWidth="1"/>
    <col min="10" max="10" width="24" customWidth="1"/>
    <col min="11" max="11" width="26" customWidth="1"/>
    <col min="12" max="12" width="30" customWidth="1"/>
    <col min="13" max="14" width="18" customWidth="1"/>
    <col min="15" max="15" width="24" customWidth="1"/>
    <col min="16" max="16" width="14" customWidth="1"/>
    <col min="17" max="17" width="34" customWidth="1"/>
    <col min="18" max="19" width="13" customWidth="1"/>
    <col min="20" max="20" width="34" customWidth="1"/>
    <col min="21" max="21" width="11" customWidth="1"/>
    <col min="22" max="24" width="13" customWidth="1"/>
    <col min="25" max="25" width="32" customWidth="1"/>
    <col min="26" max="26" width="20" customWidth="1"/>
    <col min="27" max="27" width="12" customWidth="1"/>
    <col min="28" max="30" width="13" customWidth="1"/>
    <col min="31" max="31" width="16" customWidth="1"/>
    <col min="32" max="33" width="30" customWidth="1"/>
    <col min="34" max="34" width="14" customWidth="1"/>
  </cols>
  <sheetData>
    <row r="1" spans="1:1" x14ac:dyDescent="0.25">
      <c r="A1" s="1" t="s">
        <v>20</v>
      </c>
    </row>
    <row r="2" spans="1:1" x14ac:dyDescent="0.25">
      <c r="A2" s="2" t="s">
        <v>21</v>
      </c>
    </row>
    <row r="3" spans="1:34" x14ac:dyDescent="0.25">
      <c r="A3" s="6" t="s">
        <v>22</v>
      </c>
      <c r="B3" s="6"/>
      <c r="C3" s="6"/>
      <c r="D3" s="6"/>
      <c r="E3" s="6"/>
      <c r="F3" s="6"/>
      <c r="G3" s="6"/>
      <c r="H3" s="6"/>
      <c r="I3" s="6" t="s">
        <v>23</v>
      </c>
      <c r="J3" s="6"/>
      <c r="K3" s="6"/>
      <c r="L3" s="6"/>
      <c r="M3" s="6"/>
      <c r="N3" s="6"/>
      <c r="O3" s="6"/>
      <c r="P3" s="6" t="s">
        <v>24</v>
      </c>
      <c r="Q3" s="6"/>
      <c r="R3" s="6"/>
      <c r="S3" s="6"/>
      <c r="T3" s="6"/>
      <c r="U3" s="6"/>
      <c r="V3" s="6"/>
      <c r="W3" s="6"/>
      <c r="X3" s="6" t="s">
        <v>25</v>
      </c>
      <c r="Y3" s="6"/>
      <c r="Z3" s="6"/>
      <c r="AA3" s="6"/>
      <c r="AB3" s="6" t="s">
        <v>26</v>
      </c>
      <c r="AC3" s="6"/>
      <c r="AD3" s="6"/>
      <c r="AE3" s="6"/>
      <c r="AF3" s="6"/>
      <c r="AG3" s="6" t="s">
        <v>27</v>
      </c>
      <c r="AH3" s="6"/>
    </row>
    <row r="4" ht="54" customHeight="1" spans="1:34" x14ac:dyDescent="0.25">
      <c r="A4" s="7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39</v>
      </c>
      <c r="M4" s="7" t="s">
        <v>40</v>
      </c>
      <c r="N4" s="7" t="s">
        <v>41</v>
      </c>
      <c r="O4" s="7" t="s">
        <v>42</v>
      </c>
      <c r="P4" s="7" t="s">
        <v>43</v>
      </c>
      <c r="Q4" s="7" t="s">
        <v>44</v>
      </c>
      <c r="R4" s="7" t="s">
        <v>45</v>
      </c>
      <c r="S4" s="7" t="s">
        <v>46</v>
      </c>
      <c r="T4" s="7" t="s">
        <v>47</v>
      </c>
      <c r="U4" s="7" t="s">
        <v>48</v>
      </c>
      <c r="V4" s="7" t="s">
        <v>49</v>
      </c>
      <c r="W4" s="7" t="s">
        <v>50</v>
      </c>
      <c r="X4" s="7" t="s">
        <v>25</v>
      </c>
      <c r="Y4" s="7" t="s">
        <v>51</v>
      </c>
      <c r="Z4" s="7" t="s">
        <v>52</v>
      </c>
      <c r="AA4" s="7" t="s">
        <v>53</v>
      </c>
      <c r="AB4" s="7" t="s">
        <v>54</v>
      </c>
      <c r="AC4" s="7" t="s">
        <v>55</v>
      </c>
      <c r="AD4" s="7" t="s">
        <v>56</v>
      </c>
      <c r="AE4" s="7" t="s">
        <v>57</v>
      </c>
      <c r="AF4" s="7" t="s">
        <v>58</v>
      </c>
      <c r="AG4" s="7" t="s">
        <v>59</v>
      </c>
      <c r="AH4" s="7" t="s">
        <v>60</v>
      </c>
    </row>
    <row r="5" ht="75" customHeight="1" spans="1:34" x14ac:dyDescent="0.25">
      <c r="A5" s="8" t="s">
        <v>61</v>
      </c>
      <c r="B5" s="8" t="s">
        <v>62</v>
      </c>
      <c r="C5" s="8" t="s">
        <v>63</v>
      </c>
      <c r="D5" s="8" t="s">
        <v>64</v>
      </c>
      <c r="E5" s="8" t="s">
        <v>65</v>
      </c>
      <c r="F5" s="8" t="s">
        <v>66</v>
      </c>
      <c r="G5" s="8" t="s">
        <v>65</v>
      </c>
      <c r="H5" s="8" t="s">
        <v>67</v>
      </c>
      <c r="I5" s="8" t="s">
        <v>16</v>
      </c>
      <c r="J5" s="8" t="s">
        <v>68</v>
      </c>
      <c r="K5" s="8" t="s">
        <v>69</v>
      </c>
      <c r="L5" s="8" t="s">
        <v>70</v>
      </c>
      <c r="M5" s="8" t="s">
        <v>71</v>
      </c>
      <c r="N5" s="8" t="s">
        <v>72</v>
      </c>
      <c r="O5" s="8" t="s">
        <v>73</v>
      </c>
      <c r="P5" s="8" t="s">
        <v>74</v>
      </c>
      <c r="Q5" s="8" t="s">
        <v>75</v>
      </c>
      <c r="R5" s="8" t="s">
        <v>76</v>
      </c>
      <c r="S5" s="8" t="s">
        <v>76</v>
      </c>
      <c r="T5" s="8" t="s">
        <v>77</v>
      </c>
      <c r="U5" s="8">
        <v>1</v>
      </c>
      <c r="V5" s="9" t="str">
        <f>IF(R5="","",INDEX(Listas!$B$2:$B$6,MIN(5,MATCH(R5,Listas!$B$2:$B$6,0)+IF(U5="",0,U5))))</f>
        <v>Muy alto</v>
      </c>
      <c r="W5" s="9" t="str">
        <f>IF(OR(P5="",V5=""),"",INDEX('Decisión'!$B$4:$F$8,MATCH(P5,'Decisión'!$A$4:$A$8,0),MATCH(V5,'Decisión'!$B$3:$F$3,0)))</f>
        <v>Muy alto</v>
      </c>
      <c r="X5" s="8" t="s">
        <v>78</v>
      </c>
      <c r="Y5" s="8" t="s">
        <v>79</v>
      </c>
      <c r="Z5" s="8" t="s">
        <v>80</v>
      </c>
      <c r="AA5" s="8" t="s">
        <v>81</v>
      </c>
      <c r="AB5" s="8" t="s">
        <v>82</v>
      </c>
      <c r="AC5" s="8" t="s">
        <v>83</v>
      </c>
      <c r="AD5" s="9" t="str">
        <f>IF(OR(AB5="",AC5=""),"",INDEX('Decisión'!$B$4:$F$8,MATCH(AB5,'Decisión'!$A$4:$A$8,0),MATCH(AC5,'Decisión'!$B$3:$F$3,0)))</f>
        <v>Medio</v>
      </c>
      <c r="AE5" s="9" t="str">
        <f>IF(W5="","",IF(OR(W5="Alto",W5="Muy alto"),IF(OR(E5="Sí",G5="Sí"),"Sí (obligatoria)","Valorar"),"Recomendada por defecto"))</f>
        <v>Sí (obligatoria)</v>
      </c>
      <c r="AF5" s="9" t="str">
        <f>IF(AD5="","",IF(AC5="Muy alto","Requiere observaciones DPD/jurídico y aprobación de la máxima autoridad",IF(OR(AD5="Muy bajo",AD5="Bajo"),"Aceptable (registrar y monitorear)",IF(AD5="Medio","Tratar en plan anual o aceptación formal","No aceptable: tratamiento prioritario"))))</f>
        <v>Tratar en plan anual o aceptación formal</v>
      </c>
      <c r="AG5" s="8" t="s">
        <v>84</v>
      </c>
      <c r="AH5" s="8" t="s">
        <v>85</v>
      </c>
    </row>
    <row r="6" ht="75" customHeight="1" spans="1:34" x14ac:dyDescent="0.25">
      <c r="A6" s="8" t="s">
        <v>86</v>
      </c>
      <c r="B6" s="8" t="s">
        <v>87</v>
      </c>
      <c r="C6" s="8" t="s">
        <v>88</v>
      </c>
      <c r="D6" s="8" t="s">
        <v>89</v>
      </c>
      <c r="E6" s="8" t="s">
        <v>90</v>
      </c>
      <c r="F6" s="8" t="s">
        <v>91</v>
      </c>
      <c r="G6" s="8" t="s">
        <v>65</v>
      </c>
      <c r="H6" s="8" t="s">
        <v>92</v>
      </c>
      <c r="I6" s="8" t="s">
        <v>16</v>
      </c>
      <c r="J6" s="8" t="s">
        <v>93</v>
      </c>
      <c r="K6" s="8" t="s">
        <v>94</v>
      </c>
      <c r="L6" s="8" t="s">
        <v>95</v>
      </c>
      <c r="M6" s="8" t="s">
        <v>96</v>
      </c>
      <c r="N6" s="8" t="s">
        <v>97</v>
      </c>
      <c r="O6" s="8" t="s">
        <v>98</v>
      </c>
      <c r="P6" s="8" t="s">
        <v>99</v>
      </c>
      <c r="Q6" s="8" t="s">
        <v>100</v>
      </c>
      <c r="R6" s="8" t="s">
        <v>83</v>
      </c>
      <c r="S6" s="8" t="s">
        <v>76</v>
      </c>
      <c r="T6" s="8" t="s">
        <v>101</v>
      </c>
      <c r="U6" s="8">
        <v>1</v>
      </c>
      <c r="V6" s="9" t="str">
        <f>IF(R6="","",INDEX(Listas!$B$2:$B$6,MIN(5,MATCH(R6,Listas!$B$2:$B$6,0)+IF(U6="",0,U6))))</f>
        <v>Alto</v>
      </c>
      <c r="W6" s="9" t="str">
        <f>IF(OR(P6="",V6=""),"",INDEX('Decisión'!$B$4:$F$8,MATCH(P6,'Decisión'!$A$4:$A$8,0),MATCH(V6,'Decisión'!$B$3:$F$3,0)))</f>
        <v>Muy alto</v>
      </c>
      <c r="X6" s="8" t="s">
        <v>78</v>
      </c>
      <c r="Y6" s="8" t="s">
        <v>102</v>
      </c>
      <c r="Z6" s="8" t="s">
        <v>103</v>
      </c>
      <c r="AA6" s="8" t="s">
        <v>104</v>
      </c>
      <c r="AB6" s="8" t="s">
        <v>82</v>
      </c>
      <c r="AC6" s="8" t="s">
        <v>83</v>
      </c>
      <c r="AD6" s="9" t="str">
        <f>IF(OR(AB6="",AC6=""),"",INDEX('Decisión'!$B$4:$F$8,MATCH(AB6,'Decisión'!$A$4:$A$8,0),MATCH(AC6,'Decisión'!$B$3:$F$3,0)))</f>
        <v>Medio</v>
      </c>
      <c r="AE6" s="9" t="str">
        <f>IF(W6="","",IF(OR(W6="Alto",W6="Muy alto"),IF(OR(E6="Sí",G6="Sí"),"Sí (obligatoria)","Valorar"),"Recomendada por defecto"))</f>
        <v>Sí (obligatoria)</v>
      </c>
      <c r="AF6" s="9" t="str">
        <f>IF(AD6="","",IF(AC6="Muy alto","Requiere observaciones DPD/jurídico y aprobación de la máxima autoridad",IF(OR(AD6="Muy bajo",AD6="Bajo"),"Aceptable (registrar y monitorear)",IF(AD6="Medio","Tratar en plan anual o aceptación formal","No aceptable: tratamiento prioritario"))))</f>
        <v>Tratar en plan anual o aceptación formal</v>
      </c>
      <c r="AG6" s="8" t="s">
        <v>105</v>
      </c>
      <c r="AH6" s="8" t="s">
        <v>85</v>
      </c>
    </row>
    <row r="7" ht="75" customHeight="1" spans="1:34" x14ac:dyDescent="0.25">
      <c r="A7" s="8" t="s">
        <v>106</v>
      </c>
      <c r="B7" s="8" t="s">
        <v>107</v>
      </c>
      <c r="C7" s="8" t="s">
        <v>108</v>
      </c>
      <c r="D7" s="8" t="s">
        <v>109</v>
      </c>
      <c r="E7" s="8" t="s">
        <v>90</v>
      </c>
      <c r="F7" s="8" t="s">
        <v>110</v>
      </c>
      <c r="G7" s="8" t="s">
        <v>65</v>
      </c>
      <c r="H7" s="8" t="s">
        <v>111</v>
      </c>
      <c r="I7" s="8" t="s">
        <v>112</v>
      </c>
      <c r="J7" s="8" t="s">
        <v>113</v>
      </c>
      <c r="K7" s="8" t="s">
        <v>114</v>
      </c>
      <c r="L7" s="8" t="s">
        <v>115</v>
      </c>
      <c r="M7" s="8" t="s">
        <v>71</v>
      </c>
      <c r="N7" s="8" t="s">
        <v>116</v>
      </c>
      <c r="O7" s="8" t="s">
        <v>117</v>
      </c>
      <c r="P7" s="8" t="s">
        <v>74</v>
      </c>
      <c r="Q7" s="8" t="s">
        <v>118</v>
      </c>
      <c r="R7" s="8" t="s">
        <v>83</v>
      </c>
      <c r="S7" s="8" t="s">
        <v>83</v>
      </c>
      <c r="T7" s="8" t="s">
        <v>119</v>
      </c>
      <c r="U7" s="8">
        <v>1</v>
      </c>
      <c r="V7" s="9" t="str">
        <f>IF(R7="","",INDEX(Listas!$B$2:$B$6,MIN(5,MATCH(R7,Listas!$B$2:$B$6,0)+IF(U7="",0,U7))))</f>
        <v>Alto</v>
      </c>
      <c r="W7" s="9" t="str">
        <f>IF(OR(P7="",V7=""),"",INDEX('Decisión'!$B$4:$F$8,MATCH(P7,'Decisión'!$A$4:$A$8,0),MATCH(V7,'Decisión'!$B$3:$F$3,0)))</f>
        <v>Alto</v>
      </c>
      <c r="X7" s="8" t="s">
        <v>120</v>
      </c>
      <c r="Y7" s="8" t="s">
        <v>121</v>
      </c>
      <c r="Z7" s="8" t="s">
        <v>122</v>
      </c>
      <c r="AA7" s="8" t="s">
        <v>123</v>
      </c>
      <c r="AB7" s="8" t="s">
        <v>124</v>
      </c>
      <c r="AC7" s="8" t="s">
        <v>125</v>
      </c>
      <c r="AD7" s="9" t="str">
        <f>IF(OR(AB7="",AC7=""),"",INDEX('Decisión'!$B$4:$F$8,MATCH(AB7,'Decisión'!$A$4:$A$8,0),MATCH(AC7,'Decisión'!$B$3:$F$3,0)))</f>
        <v>Muy bajo</v>
      </c>
      <c r="AE7" s="9" t="str">
        <f>IF(W7="","",IF(OR(W7="Alto",W7="Muy alto"),IF(OR(E7="Sí",G7="Sí"),"Sí (obligatoria)","Valorar"),"Recomendada por defecto"))</f>
        <v>Sí (obligatoria)</v>
      </c>
      <c r="AF7" s="9" t="str">
        <f>IF(AD7="","",IF(AC7="Muy alto","Requiere observaciones DPD/jurídico y aprobación de la máxima autoridad",IF(OR(AD7="Muy bajo",AD7="Bajo"),"Aceptable (registrar y monitorear)",IF(AD7="Medio","Tratar en plan anual o aceptación formal","No aceptable: tratamiento prioritario"))))</f>
        <v>Aceptable (registrar y monitorear)</v>
      </c>
      <c r="AG7" s="8" t="s">
        <v>126</v>
      </c>
      <c r="AH7" s="8" t="s">
        <v>85</v>
      </c>
    </row>
    <row r="8" ht="75" customHeight="1" spans="1:34" x14ac:dyDescent="0.25">
      <c r="A8" s="8" t="s">
        <v>127</v>
      </c>
      <c r="B8" s="8" t="s">
        <v>87</v>
      </c>
      <c r="C8" s="8" t="s">
        <v>128</v>
      </c>
      <c r="D8" s="8" t="s">
        <v>129</v>
      </c>
      <c r="E8" s="8" t="s">
        <v>90</v>
      </c>
      <c r="F8" s="8" t="s">
        <v>130</v>
      </c>
      <c r="G8" s="8" t="s">
        <v>65</v>
      </c>
      <c r="H8" s="8" t="s">
        <v>131</v>
      </c>
      <c r="I8" s="8" t="s">
        <v>112</v>
      </c>
      <c r="J8" s="8" t="s">
        <v>113</v>
      </c>
      <c r="K8" s="8" t="s">
        <v>132</v>
      </c>
      <c r="L8" s="8" t="s">
        <v>133</v>
      </c>
      <c r="M8" s="8" t="s">
        <v>134</v>
      </c>
      <c r="N8" s="8" t="s">
        <v>135</v>
      </c>
      <c r="O8" s="8" t="s">
        <v>136</v>
      </c>
      <c r="P8" s="8" t="s">
        <v>137</v>
      </c>
      <c r="Q8" s="8" t="s">
        <v>138</v>
      </c>
      <c r="R8" s="8" t="s">
        <v>125</v>
      </c>
      <c r="S8" s="8" t="s">
        <v>83</v>
      </c>
      <c r="T8" s="8" t="s">
        <v>139</v>
      </c>
      <c r="U8" s="8">
        <v>1</v>
      </c>
      <c r="V8" s="9" t="str">
        <f>IF(R8="","",INDEX(Listas!$B$2:$B$6,MIN(5,MATCH(R8,Listas!$B$2:$B$6,0)+IF(U8="",0,U8))))</f>
        <v>Medio</v>
      </c>
      <c r="W8" s="9" t="str">
        <f>IF(OR(P8="",V8=""),"",INDEX('Decisión'!$B$4:$F$8,MATCH(P8,'Decisión'!$A$4:$A$8,0),MATCH(V8,'Decisión'!$B$3:$F$3,0)))</f>
        <v>Alto</v>
      </c>
      <c r="X8" s="8" t="s">
        <v>78</v>
      </c>
      <c r="Y8" s="8" t="s">
        <v>140</v>
      </c>
      <c r="Z8" s="8" t="s">
        <v>141</v>
      </c>
      <c r="AA8" s="8" t="s">
        <v>142</v>
      </c>
      <c r="AB8" s="8" t="s">
        <v>82</v>
      </c>
      <c r="AC8" s="8" t="s">
        <v>125</v>
      </c>
      <c r="AD8" s="9" t="str">
        <f>IF(OR(AB8="",AC8=""),"",INDEX('Decisión'!$B$4:$F$8,MATCH(AB8,'Decisión'!$A$4:$A$8,0),MATCH(AC8,'Decisión'!$B$3:$F$3,0)))</f>
        <v>Bajo</v>
      </c>
      <c r="AE8" s="9" t="str">
        <f>IF(W8="","",IF(OR(W8="Alto",W8="Muy alto"),IF(OR(E8="Sí",G8="Sí"),"Sí (obligatoria)","Valorar"),"Recomendada por defecto"))</f>
        <v>Sí (obligatoria)</v>
      </c>
      <c r="AF8" s="9" t="str">
        <f>IF(AD8="","",IF(AC8="Muy alto","Requiere observaciones DPD/jurídico y aprobación de la máxima autoridad",IF(OR(AD8="Muy bajo",AD8="Bajo"),"Aceptable (registrar y monitorear)",IF(AD8="Medio","Tratar en plan anual o aceptación formal","No aceptable: tratamiento prioritario"))))</f>
        <v>Aceptable (registrar y monitorear)</v>
      </c>
      <c r="AG8" s="8" t="s">
        <v>143</v>
      </c>
      <c r="AH8" s="8" t="s">
        <v>85</v>
      </c>
    </row>
    <row r="9" ht="75" customHeight="1" spans="1:34" x14ac:dyDescent="0.25">
      <c r="A9" s="8" t="s">
        <v>144</v>
      </c>
      <c r="B9" s="8" t="s">
        <v>145</v>
      </c>
      <c r="C9" s="8" t="s">
        <v>146</v>
      </c>
      <c r="D9" s="8" t="s">
        <v>147</v>
      </c>
      <c r="E9" s="8" t="s">
        <v>90</v>
      </c>
      <c r="F9" s="8" t="s">
        <v>148</v>
      </c>
      <c r="G9" s="8" t="s">
        <v>90</v>
      </c>
      <c r="H9" s="8" t="s">
        <v>149</v>
      </c>
      <c r="I9" s="8" t="s">
        <v>16</v>
      </c>
      <c r="J9" s="8" t="s">
        <v>150</v>
      </c>
      <c r="K9" s="8" t="s">
        <v>151</v>
      </c>
      <c r="L9" s="8" t="s">
        <v>152</v>
      </c>
      <c r="M9" s="8" t="s">
        <v>71</v>
      </c>
      <c r="N9" s="8" t="s">
        <v>153</v>
      </c>
      <c r="O9" s="8" t="s">
        <v>154</v>
      </c>
      <c r="P9" s="8" t="s">
        <v>99</v>
      </c>
      <c r="Q9" s="8" t="s">
        <v>155</v>
      </c>
      <c r="R9" s="8" t="s">
        <v>83</v>
      </c>
      <c r="S9" s="8" t="s">
        <v>83</v>
      </c>
      <c r="T9" s="8" t="s">
        <v>156</v>
      </c>
      <c r="U9" s="8">
        <v>0</v>
      </c>
      <c r="V9" s="9" t="str">
        <f>IF(R9="","",INDEX(Listas!$B$2:$B$6,MIN(5,MATCH(R9,Listas!$B$2:$B$6,0)+IF(U9="",0,U9))))</f>
        <v>Medio</v>
      </c>
      <c r="W9" s="9" t="str">
        <f>IF(OR(P9="",V9=""),"",INDEX('Decisión'!$B$4:$F$8,MATCH(P9,'Decisión'!$A$4:$A$8,0),MATCH(V9,'Decisión'!$B$3:$F$3,0)))</f>
        <v>Alto</v>
      </c>
      <c r="X9" s="8" t="s">
        <v>78</v>
      </c>
      <c r="Y9" s="8" t="s">
        <v>157</v>
      </c>
      <c r="Z9" s="8" t="s">
        <v>158</v>
      </c>
      <c r="AA9" s="8" t="s">
        <v>159</v>
      </c>
      <c r="AB9" s="8" t="s">
        <v>82</v>
      </c>
      <c r="AC9" s="8" t="s">
        <v>83</v>
      </c>
      <c r="AD9" s="9" t="str">
        <f>IF(OR(AB9="",AC9=""),"",INDEX('Decisión'!$B$4:$F$8,MATCH(AB9,'Decisión'!$A$4:$A$8,0),MATCH(AC9,'Decisión'!$B$3:$F$3,0)))</f>
        <v>Medio</v>
      </c>
      <c r="AE9" s="9" t="str">
        <f>IF(W9="","",IF(OR(W9="Alto",W9="Muy alto"),IF(OR(E9="Sí",G9="Sí"),"Sí (obligatoria)","Valorar"),"Recomendada por defecto"))</f>
        <v>Valorar</v>
      </c>
      <c r="AF9" s="9" t="str">
        <f>IF(AD9="","",IF(AC9="Muy alto","Requiere observaciones DPD/jurídico y aprobación de la máxima autoridad",IF(OR(AD9="Muy bajo",AD9="Bajo"),"Aceptable (registrar y monitorear)",IF(AD9="Medio","Tratar en plan anual o aceptación formal","No aceptable: tratamiento prioritario"))))</f>
        <v>Tratar en plan anual o aceptación formal</v>
      </c>
      <c r="AG9" s="8" t="s">
        <v>160</v>
      </c>
      <c r="AH9" s="8" t="s">
        <v>161</v>
      </c>
    </row>
    <row r="10" ht="75" customHeight="1" spans="1:34" x14ac:dyDescent="0.25">
      <c r="A10" s="8" t="s">
        <v>162</v>
      </c>
      <c r="B10" s="8" t="s">
        <v>107</v>
      </c>
      <c r="C10" s="8" t="s">
        <v>163</v>
      </c>
      <c r="D10" s="8" t="s">
        <v>164</v>
      </c>
      <c r="E10" s="8" t="s">
        <v>90</v>
      </c>
      <c r="F10" s="8" t="s">
        <v>110</v>
      </c>
      <c r="G10" s="8" t="s">
        <v>65</v>
      </c>
      <c r="H10" s="8" t="s">
        <v>149</v>
      </c>
      <c r="I10" s="8" t="s">
        <v>165</v>
      </c>
      <c r="J10" s="8" t="s">
        <v>166</v>
      </c>
      <c r="K10" s="8" t="s">
        <v>167</v>
      </c>
      <c r="L10" s="8" t="s">
        <v>168</v>
      </c>
      <c r="M10" s="8" t="s">
        <v>96</v>
      </c>
      <c r="N10" s="8" t="s">
        <v>153</v>
      </c>
      <c r="O10" s="8" t="s">
        <v>169</v>
      </c>
      <c r="P10" s="8" t="s">
        <v>82</v>
      </c>
      <c r="Q10" s="8" t="s">
        <v>170</v>
      </c>
      <c r="R10" s="8" t="s">
        <v>76</v>
      </c>
      <c r="S10" s="8" t="s">
        <v>76</v>
      </c>
      <c r="T10" s="8" t="s">
        <v>171</v>
      </c>
      <c r="U10" s="8">
        <v>0</v>
      </c>
      <c r="V10" s="9" t="str">
        <f>IF(R10="","",INDEX(Listas!$B$2:$B$6,MIN(5,MATCH(R10,Listas!$B$2:$B$6,0)+IF(U10="",0,U10))))</f>
        <v>Alto</v>
      </c>
      <c r="W10" s="9" t="str">
        <f>IF(OR(P10="",V10=""),"",INDEX('Decisión'!$B$4:$F$8,MATCH(P10,'Decisión'!$A$4:$A$8,0),MATCH(V10,'Decisión'!$B$3:$F$3,0)))</f>
        <v>Alto</v>
      </c>
      <c r="X10" s="8" t="s">
        <v>78</v>
      </c>
      <c r="Y10" s="8" t="s">
        <v>172</v>
      </c>
      <c r="Z10" s="8" t="s">
        <v>173</v>
      </c>
      <c r="AA10" s="8" t="s">
        <v>81</v>
      </c>
      <c r="AB10" s="8" t="s">
        <v>124</v>
      </c>
      <c r="AC10" s="8" t="s">
        <v>76</v>
      </c>
      <c r="AD10" s="9" t="str">
        <f>IF(OR(AB10="",AC10=""),"",INDEX('Decisión'!$B$4:$F$8,MATCH(AB10,'Decisión'!$A$4:$A$8,0),MATCH(AC10,'Decisión'!$B$3:$F$3,0)))</f>
        <v>Medio</v>
      </c>
      <c r="AE10" s="9" t="str">
        <f>IF(W10="","",IF(OR(W10="Alto",W10="Muy alto"),IF(OR(E10="Sí",G10="Sí"),"Sí (obligatoria)","Valorar"),"Recomendada por defecto"))</f>
        <v>Sí (obligatoria)</v>
      </c>
      <c r="AF10" s="9" t="str">
        <f>IF(AD10="","",IF(AC10="Muy alto","Requiere observaciones DPD/jurídico y aprobación de la máxima autoridad",IF(OR(AD10="Muy bajo",AD10="Bajo"),"Aceptable (registrar y monitorear)",IF(AD10="Medio","Tratar en plan anual o aceptación formal","No aceptable: tratamiento prioritario"))))</f>
        <v>Tratar en plan anual o aceptación formal</v>
      </c>
      <c r="AG10" s="8" t="s">
        <v>174</v>
      </c>
      <c r="AH10" s="8" t="s">
        <v>161</v>
      </c>
    </row>
    <row r="11" ht="75" customHeight="1" spans="1:34" x14ac:dyDescent="0.25">
      <c r="A11" s="8" t="s">
        <v>175</v>
      </c>
      <c r="B11" s="8" t="s">
        <v>176</v>
      </c>
      <c r="C11" s="8" t="s">
        <v>177</v>
      </c>
      <c r="D11" s="8" t="s">
        <v>178</v>
      </c>
      <c r="E11" s="8" t="s">
        <v>90</v>
      </c>
      <c r="F11" s="8" t="s">
        <v>179</v>
      </c>
      <c r="G11" s="8" t="s">
        <v>90</v>
      </c>
      <c r="H11" s="8" t="s">
        <v>180</v>
      </c>
      <c r="I11" s="8" t="s">
        <v>16</v>
      </c>
      <c r="J11" s="8" t="s">
        <v>181</v>
      </c>
      <c r="K11" s="8" t="s">
        <v>182</v>
      </c>
      <c r="L11" s="8" t="s">
        <v>183</v>
      </c>
      <c r="M11" s="8" t="s">
        <v>134</v>
      </c>
      <c r="N11" s="8" t="s">
        <v>184</v>
      </c>
      <c r="O11" s="8" t="s">
        <v>185</v>
      </c>
      <c r="P11" s="8" t="s">
        <v>82</v>
      </c>
      <c r="Q11" s="8" t="s">
        <v>186</v>
      </c>
      <c r="R11" s="8" t="s">
        <v>76</v>
      </c>
      <c r="S11" s="8" t="s">
        <v>76</v>
      </c>
      <c r="T11" s="8" t="s">
        <v>187</v>
      </c>
      <c r="U11" s="8">
        <v>0</v>
      </c>
      <c r="V11" s="9" t="str">
        <f>IF(R11="","",INDEX(Listas!$B$2:$B$6,MIN(5,MATCH(R11,Listas!$B$2:$B$6,0)+IF(U11="",0,U11))))</f>
        <v>Alto</v>
      </c>
      <c r="W11" s="9" t="str">
        <f>IF(OR(P11="",V11=""),"",INDEX('Decisión'!$B$4:$F$8,MATCH(P11,'Decisión'!$A$4:$A$8,0),MATCH(V11,'Decisión'!$B$3:$F$3,0)))</f>
        <v>Alto</v>
      </c>
      <c r="X11" s="8" t="s">
        <v>188</v>
      </c>
      <c r="Y11" s="8" t="s">
        <v>189</v>
      </c>
      <c r="Z11" s="8" t="s">
        <v>190</v>
      </c>
      <c r="AA11" s="8" t="s">
        <v>191</v>
      </c>
      <c r="AB11" s="8" t="s">
        <v>124</v>
      </c>
      <c r="AC11" s="8" t="s">
        <v>76</v>
      </c>
      <c r="AD11" s="9" t="str">
        <f>IF(OR(AB11="",AC11=""),"",INDEX('Decisión'!$B$4:$F$8,MATCH(AB11,'Decisión'!$A$4:$A$8,0),MATCH(AC11,'Decisión'!$B$3:$F$3,0)))</f>
        <v>Medio</v>
      </c>
      <c r="AE11" s="9" t="str">
        <f>IF(W11="","",IF(OR(W11="Alto",W11="Muy alto"),IF(OR(E11="Sí",G11="Sí"),"Sí (obligatoria)","Valorar"),"Recomendada por defecto"))</f>
        <v>Valorar</v>
      </c>
      <c r="AF11" s="9" t="str">
        <f>IF(AD11="","",IF(AC11="Muy alto","Requiere observaciones DPD/jurídico y aprobación de la máxima autoridad",IF(OR(AD11="Muy bajo",AD11="Bajo"),"Aceptable (registrar y monitorear)",IF(AD11="Medio","Tratar en plan anual o aceptación formal","No aceptable: tratamiento prioritario"))))</f>
        <v>Tratar en plan anual o aceptación formal</v>
      </c>
      <c r="AG11" s="8" t="s">
        <v>192</v>
      </c>
      <c r="AH11" s="8" t="s">
        <v>161</v>
      </c>
    </row>
    <row r="12" ht="75" customHeight="1" spans="1:34" x14ac:dyDescent="0.25">
      <c r="A12" s="8" t="s">
        <v>193</v>
      </c>
      <c r="B12" s="8" t="s">
        <v>145</v>
      </c>
      <c r="C12" s="8" t="s">
        <v>194</v>
      </c>
      <c r="D12" s="8" t="s">
        <v>147</v>
      </c>
      <c r="E12" s="8" t="s">
        <v>90</v>
      </c>
      <c r="F12" s="8" t="s">
        <v>195</v>
      </c>
      <c r="G12" s="8" t="s">
        <v>90</v>
      </c>
      <c r="H12" s="8" t="s">
        <v>196</v>
      </c>
      <c r="I12" s="8" t="s">
        <v>197</v>
      </c>
      <c r="J12" s="8" t="s">
        <v>93</v>
      </c>
      <c r="K12" s="8" t="s">
        <v>198</v>
      </c>
      <c r="L12" s="8" t="s">
        <v>199</v>
      </c>
      <c r="M12" s="8" t="s">
        <v>96</v>
      </c>
      <c r="N12" s="8" t="s">
        <v>200</v>
      </c>
      <c r="O12" s="8" t="s">
        <v>201</v>
      </c>
      <c r="P12" s="8" t="s">
        <v>74</v>
      </c>
      <c r="Q12" s="8" t="s">
        <v>202</v>
      </c>
      <c r="R12" s="8" t="s">
        <v>76</v>
      </c>
      <c r="S12" s="8" t="s">
        <v>203</v>
      </c>
      <c r="T12" s="8" t="s">
        <v>204</v>
      </c>
      <c r="U12" s="8">
        <v>1</v>
      </c>
      <c r="V12" s="9" t="str">
        <f>IF(R12="","",INDEX(Listas!$B$2:$B$6,MIN(5,MATCH(R12,Listas!$B$2:$B$6,0)+IF(U12="",0,U12))))</f>
        <v>Muy alto</v>
      </c>
      <c r="W12" s="9" t="str">
        <f>IF(OR(P12="",V12=""),"",INDEX('Decisión'!$B$4:$F$8,MATCH(P12,'Decisión'!$A$4:$A$8,0),MATCH(V12,'Decisión'!$B$3:$F$3,0)))</f>
        <v>Muy alto</v>
      </c>
      <c r="X12" s="8" t="s">
        <v>78</v>
      </c>
      <c r="Y12" s="8" t="s">
        <v>205</v>
      </c>
      <c r="Z12" s="8" t="s">
        <v>173</v>
      </c>
      <c r="AA12" s="8" t="s">
        <v>159</v>
      </c>
      <c r="AB12" s="8" t="s">
        <v>82</v>
      </c>
      <c r="AC12" s="8" t="s">
        <v>83</v>
      </c>
      <c r="AD12" s="9" t="str">
        <f>IF(OR(AB12="",AC12=""),"",INDEX('Decisión'!$B$4:$F$8,MATCH(AB12,'Decisión'!$A$4:$A$8,0),MATCH(AC12,'Decisión'!$B$3:$F$3,0)))</f>
        <v>Medio</v>
      </c>
      <c r="AE12" s="9" t="str">
        <f>IF(W12="","",IF(OR(W12="Alto",W12="Muy alto"),IF(OR(E12="Sí",G12="Sí"),"Sí (obligatoria)","Valorar"),"Recomendada por defecto"))</f>
        <v>Valorar</v>
      </c>
      <c r="AF12" s="9" t="str">
        <f>IF(AD12="","",IF(AC12="Muy alto","Requiere observaciones DPD/jurídico y aprobación de la máxima autoridad",IF(OR(AD12="Muy bajo",AD12="Bajo"),"Aceptable (registrar y monitorear)",IF(AD12="Medio","Tratar en plan anual o aceptación formal","No aceptable: tratamiento prioritario"))))</f>
        <v>Tratar en plan anual o aceptación formal</v>
      </c>
      <c r="AG12" s="8" t="s">
        <v>206</v>
      </c>
      <c r="AH12" s="8" t="s">
        <v>161</v>
      </c>
    </row>
    <row r="13" ht="75" customHeight="1" spans="1:34" x14ac:dyDescent="0.25">
      <c r="A13" s="8" t="s">
        <v>207</v>
      </c>
      <c r="B13" s="8" t="s">
        <v>62</v>
      </c>
      <c r="C13" s="8" t="s">
        <v>208</v>
      </c>
      <c r="D13" s="8" t="s">
        <v>64</v>
      </c>
      <c r="E13" s="8" t="s">
        <v>65</v>
      </c>
      <c r="F13" s="8" t="s">
        <v>209</v>
      </c>
      <c r="G13" s="8" t="s">
        <v>65</v>
      </c>
      <c r="H13" s="8" t="s">
        <v>210</v>
      </c>
      <c r="I13" s="8" t="s">
        <v>16</v>
      </c>
      <c r="J13" s="8" t="s">
        <v>93</v>
      </c>
      <c r="K13" s="8" t="s">
        <v>211</v>
      </c>
      <c r="L13" s="8" t="s">
        <v>212</v>
      </c>
      <c r="M13" s="8" t="s">
        <v>96</v>
      </c>
      <c r="N13" s="8" t="s">
        <v>213</v>
      </c>
      <c r="O13" s="8" t="s">
        <v>214</v>
      </c>
      <c r="P13" s="8" t="s">
        <v>74</v>
      </c>
      <c r="Q13" s="8" t="s">
        <v>215</v>
      </c>
      <c r="R13" s="8" t="s">
        <v>76</v>
      </c>
      <c r="S13" s="8" t="s">
        <v>203</v>
      </c>
      <c r="T13" s="8" t="s">
        <v>216</v>
      </c>
      <c r="U13" s="8">
        <v>2</v>
      </c>
      <c r="V13" s="9" t="str">
        <f>IF(R13="","",INDEX(Listas!$B$2:$B$6,MIN(5,MATCH(R13,Listas!$B$2:$B$6,0)+IF(U13="",0,U13))))</f>
        <v>Muy alto</v>
      </c>
      <c r="W13" s="9" t="str">
        <f>IF(OR(P13="",V13=""),"",INDEX('Decisión'!$B$4:$F$8,MATCH(P13,'Decisión'!$A$4:$A$8,0),MATCH(V13,'Decisión'!$B$3:$F$3,0)))</f>
        <v>Muy alto</v>
      </c>
      <c r="X13" s="8" t="s">
        <v>78</v>
      </c>
      <c r="Y13" s="8" t="s">
        <v>217</v>
      </c>
      <c r="Z13" s="8" t="s">
        <v>80</v>
      </c>
      <c r="AA13" s="8" t="s">
        <v>191</v>
      </c>
      <c r="AB13" s="8" t="s">
        <v>82</v>
      </c>
      <c r="AC13" s="8" t="s">
        <v>203</v>
      </c>
      <c r="AD13" s="9" t="str">
        <f>IF(OR(AB13="",AC13=""),"",INDEX('Decisión'!$B$4:$F$8,MATCH(AB13,'Decisión'!$A$4:$A$8,0),MATCH(AC13,'Decisión'!$B$3:$F$3,0)))</f>
        <v>Alto</v>
      </c>
      <c r="AE13" s="9" t="str">
        <f>IF(W13="","",IF(OR(W13="Alto",W13="Muy alto"),IF(OR(E13="Sí",G13="Sí"),"Sí (obligatoria)","Valorar"),"Recomendada por defecto"))</f>
        <v>Sí (obligatoria)</v>
      </c>
      <c r="AF13" s="9" t="str">
        <f>IF(AD13="","",IF(AC13="Muy alto","Requiere observaciones DPD/jurídico y aprobación de la máxima autoridad",IF(OR(AD13="Muy bajo",AD13="Bajo"),"Aceptable (registrar y monitorear)",IF(AD13="Medio","Tratar en plan anual o aceptación formal","No aceptable: tratamiento prioritario"))))</f>
        <v>Requiere observaciones DPD/jurídico y aprobación de la máxima autoridad</v>
      </c>
      <c r="AG13" s="8" t="s">
        <v>218</v>
      </c>
      <c r="AH13" s="8" t="s">
        <v>161</v>
      </c>
    </row>
    <row r="14" ht="75" customHeight="1" spans="1:34" x14ac:dyDescent="0.25">
      <c r="A14" s="8" t="s">
        <v>219</v>
      </c>
      <c r="B14" s="8" t="s">
        <v>220</v>
      </c>
      <c r="C14" s="8" t="s">
        <v>221</v>
      </c>
      <c r="D14" s="8" t="s">
        <v>222</v>
      </c>
      <c r="E14" s="8" t="s">
        <v>90</v>
      </c>
      <c r="F14" s="8" t="s">
        <v>223</v>
      </c>
      <c r="G14" s="8" t="s">
        <v>90</v>
      </c>
      <c r="H14" s="8" t="s">
        <v>224</v>
      </c>
      <c r="I14" s="8" t="s">
        <v>112</v>
      </c>
      <c r="J14" s="8" t="s">
        <v>113</v>
      </c>
      <c r="K14" s="8" t="s">
        <v>225</v>
      </c>
      <c r="L14" s="8" t="s">
        <v>226</v>
      </c>
      <c r="M14" s="8" t="s">
        <v>134</v>
      </c>
      <c r="N14" s="8" t="s">
        <v>227</v>
      </c>
      <c r="O14" s="8" t="s">
        <v>117</v>
      </c>
      <c r="P14" s="8" t="s">
        <v>137</v>
      </c>
      <c r="Q14" s="8" t="s">
        <v>228</v>
      </c>
      <c r="R14" s="8" t="s">
        <v>125</v>
      </c>
      <c r="S14" s="8" t="s">
        <v>83</v>
      </c>
      <c r="T14" s="8" t="s">
        <v>229</v>
      </c>
      <c r="U14" s="8">
        <v>1</v>
      </c>
      <c r="V14" s="9" t="str">
        <f>IF(R14="","",INDEX(Listas!$B$2:$B$6,MIN(5,MATCH(R14,Listas!$B$2:$B$6,0)+IF(U14="",0,U14))))</f>
        <v>Medio</v>
      </c>
      <c r="W14" s="9" t="str">
        <f>IF(OR(P14="",V14=""),"",INDEX('Decisión'!$B$4:$F$8,MATCH(P14,'Decisión'!$A$4:$A$8,0),MATCH(V14,'Decisión'!$B$3:$F$3,0)))</f>
        <v>Alto</v>
      </c>
      <c r="X14" s="8" t="s">
        <v>78</v>
      </c>
      <c r="Y14" s="8" t="s">
        <v>230</v>
      </c>
      <c r="Z14" s="8" t="s">
        <v>231</v>
      </c>
      <c r="AA14" s="8" t="s">
        <v>191</v>
      </c>
      <c r="AB14" s="8" t="s">
        <v>124</v>
      </c>
      <c r="AC14" s="8" t="s">
        <v>125</v>
      </c>
      <c r="AD14" s="9" t="str">
        <f>IF(OR(AB14="",AC14=""),"",INDEX('Decisión'!$B$4:$F$8,MATCH(AB14,'Decisión'!$A$4:$A$8,0),MATCH(AC14,'Decisión'!$B$3:$F$3,0)))</f>
        <v>Muy bajo</v>
      </c>
      <c r="AE14" s="9" t="str">
        <f>IF(W14="","",IF(OR(W14="Alto",W14="Muy alto"),IF(OR(E14="Sí",G14="Sí"),"Sí (obligatoria)","Valorar"),"Recomendada por defecto"))</f>
        <v>Valorar</v>
      </c>
      <c r="AF14" s="9" t="str">
        <f>IF(AD14="","",IF(AC14="Muy alto","Requiere observaciones DPD/jurídico y aprobación de la máxima autoridad",IF(OR(AD14="Muy bajo",AD14="Bajo"),"Aceptable (registrar y monitorear)",IF(AD14="Medio","Tratar en plan anual o aceptación formal","No aceptable: tratamiento prioritario"))))</f>
        <v>Aceptable (registrar y monitorear)</v>
      </c>
      <c r="AG14" s="8" t="s">
        <v>232</v>
      </c>
      <c r="AH14" s="8" t="s">
        <v>161</v>
      </c>
    </row>
    <row r="15" ht="75" customHeight="1" spans="1:34" x14ac:dyDescent="0.25">
      <c r="A15" s="8" t="s">
        <v>233</v>
      </c>
      <c r="B15" s="8" t="s">
        <v>62</v>
      </c>
      <c r="C15" s="8" t="s">
        <v>234</v>
      </c>
      <c r="D15" s="8" t="s">
        <v>235</v>
      </c>
      <c r="E15" s="8" t="s">
        <v>65</v>
      </c>
      <c r="F15" s="8" t="s">
        <v>236</v>
      </c>
      <c r="G15" s="8" t="s">
        <v>65</v>
      </c>
      <c r="H15" s="8" t="s">
        <v>237</v>
      </c>
      <c r="I15" s="8" t="s">
        <v>112</v>
      </c>
      <c r="J15" s="8" t="s">
        <v>113</v>
      </c>
      <c r="K15" s="8" t="s">
        <v>238</v>
      </c>
      <c r="L15" s="8" t="s">
        <v>239</v>
      </c>
      <c r="M15" s="8" t="s">
        <v>134</v>
      </c>
      <c r="N15" s="8" t="s">
        <v>240</v>
      </c>
      <c r="O15" s="8" t="s">
        <v>241</v>
      </c>
      <c r="P15" s="8" t="s">
        <v>74</v>
      </c>
      <c r="Q15" s="8" t="s">
        <v>242</v>
      </c>
      <c r="R15" s="8" t="s">
        <v>83</v>
      </c>
      <c r="S15" s="8" t="s">
        <v>83</v>
      </c>
      <c r="T15" s="8" t="s">
        <v>243</v>
      </c>
      <c r="U15" s="8">
        <v>1</v>
      </c>
      <c r="V15" s="9" t="str">
        <f>IF(R15="","",INDEX(Listas!$B$2:$B$6,MIN(5,MATCH(R15,Listas!$B$2:$B$6,0)+IF(U15="",0,U15))))</f>
        <v>Alto</v>
      </c>
      <c r="W15" s="9" t="str">
        <f>IF(OR(P15="",V15=""),"",INDEX('Decisión'!$B$4:$F$8,MATCH(P15,'Decisión'!$A$4:$A$8,0),MATCH(V15,'Decisión'!$B$3:$F$3,0)))</f>
        <v>Alto</v>
      </c>
      <c r="X15" s="8" t="s">
        <v>78</v>
      </c>
      <c r="Y15" s="8" t="s">
        <v>244</v>
      </c>
      <c r="Z15" s="8" t="s">
        <v>245</v>
      </c>
      <c r="AA15" s="8" t="s">
        <v>159</v>
      </c>
      <c r="AB15" s="8" t="s">
        <v>82</v>
      </c>
      <c r="AC15" s="8" t="s">
        <v>83</v>
      </c>
      <c r="AD15" s="9" t="str">
        <f>IF(OR(AB15="",AC15=""),"",INDEX('Decisión'!$B$4:$F$8,MATCH(AB15,'Decisión'!$A$4:$A$8,0),MATCH(AC15,'Decisión'!$B$3:$F$3,0)))</f>
        <v>Medio</v>
      </c>
      <c r="AE15" s="9" t="str">
        <f>IF(W15="","",IF(OR(W15="Alto",W15="Muy alto"),IF(OR(E15="Sí",G15="Sí"),"Sí (obligatoria)","Valorar"),"Recomendada por defecto"))</f>
        <v>Sí (obligatoria)</v>
      </c>
      <c r="AF15" s="9" t="str">
        <f>IF(AD15="","",IF(AC15="Muy alto","Requiere observaciones DPD/jurídico y aprobación de la máxima autoridad",IF(OR(AD15="Muy bajo",AD15="Bajo"),"Aceptable (registrar y monitorear)",IF(AD15="Medio","Tratar en plan anual o aceptación formal","No aceptable: tratamiento prioritario"))))</f>
        <v>Tratar en plan anual o aceptación formal</v>
      </c>
      <c r="AG15" s="8" t="s">
        <v>246</v>
      </c>
      <c r="AH15" s="8" t="s">
        <v>161</v>
      </c>
    </row>
    <row r="16" ht="75" customHeight="1" spans="1:34" x14ac:dyDescent="0.25">
      <c r="A16" s="8" t="s">
        <v>247</v>
      </c>
      <c r="B16" s="8" t="s">
        <v>220</v>
      </c>
      <c r="C16" s="8" t="s">
        <v>248</v>
      </c>
      <c r="D16" s="8" t="s">
        <v>249</v>
      </c>
      <c r="E16" s="8" t="s">
        <v>65</v>
      </c>
      <c r="F16" s="8" t="s">
        <v>195</v>
      </c>
      <c r="G16" s="8" t="s">
        <v>65</v>
      </c>
      <c r="H16" s="8" t="s">
        <v>250</v>
      </c>
      <c r="I16" s="8" t="s">
        <v>112</v>
      </c>
      <c r="J16" s="8" t="s">
        <v>113</v>
      </c>
      <c r="K16" s="8" t="s">
        <v>251</v>
      </c>
      <c r="L16" s="8" t="s">
        <v>252</v>
      </c>
      <c r="M16" s="8" t="s">
        <v>71</v>
      </c>
      <c r="N16" s="8" t="s">
        <v>253</v>
      </c>
      <c r="O16" s="8" t="s">
        <v>254</v>
      </c>
      <c r="P16" s="8" t="s">
        <v>74</v>
      </c>
      <c r="Q16" s="8" t="s">
        <v>255</v>
      </c>
      <c r="R16" s="8" t="s">
        <v>83</v>
      </c>
      <c r="S16" s="8" t="s">
        <v>76</v>
      </c>
      <c r="T16" s="8" t="s">
        <v>256</v>
      </c>
      <c r="U16" s="8">
        <v>0</v>
      </c>
      <c r="V16" s="9" t="str">
        <f>IF(R16="","",INDEX(Listas!$B$2:$B$6,MIN(5,MATCH(R16,Listas!$B$2:$B$6,0)+IF(U16="",0,U16))))</f>
        <v>Medio</v>
      </c>
      <c r="W16" s="9" t="str">
        <f>IF(OR(P16="",V16=""),"",INDEX('Decisión'!$B$4:$F$8,MATCH(P16,'Decisión'!$A$4:$A$8,0),MATCH(V16,'Decisión'!$B$3:$F$3,0)))</f>
        <v>Medio</v>
      </c>
      <c r="X16" s="8" t="s">
        <v>78</v>
      </c>
      <c r="Y16" s="8" t="s">
        <v>257</v>
      </c>
      <c r="Z16" s="8" t="s">
        <v>258</v>
      </c>
      <c r="AA16" s="8" t="s">
        <v>104</v>
      </c>
      <c r="AB16" s="8" t="s">
        <v>82</v>
      </c>
      <c r="AC16" s="8" t="s">
        <v>125</v>
      </c>
      <c r="AD16" s="9" t="str">
        <f>IF(OR(AB16="",AC16=""),"",INDEX('Decisión'!$B$4:$F$8,MATCH(AB16,'Decisión'!$A$4:$A$8,0),MATCH(AC16,'Decisión'!$B$3:$F$3,0)))</f>
        <v>Bajo</v>
      </c>
      <c r="AE16" s="9" t="str">
        <f>IF(W16="","",IF(OR(W16="Alto",W16="Muy alto"),IF(OR(E16="Sí",G16="Sí"),"Sí (obligatoria)","Valorar"),"Recomendada por defecto"))</f>
        <v>Recomendada por defecto</v>
      </c>
      <c r="AF16" s="9" t="str">
        <f>IF(AD16="","",IF(AC16="Muy alto","Requiere observaciones DPD/jurídico y aprobación de la máxima autoridad",IF(OR(AD16="Muy bajo",AD16="Bajo"),"Aceptable (registrar y monitorear)",IF(AD16="Medio","Tratar en plan anual o aceptación formal","No aceptable: tratamiento prioritario"))))</f>
        <v>Aceptable (registrar y monitorear)</v>
      </c>
      <c r="AG16" s="8" t="s">
        <v>259</v>
      </c>
      <c r="AH16" s="8" t="s">
        <v>161</v>
      </c>
    </row>
    <row r="17" ht="75" customHeight="1" spans="1:34" x14ac:dyDescent="0.25">
      <c r="A17" s="8" t="s">
        <v>260</v>
      </c>
      <c r="B17" s="8" t="s">
        <v>87</v>
      </c>
      <c r="C17" s="8" t="s">
        <v>261</v>
      </c>
      <c r="D17" s="8" t="s">
        <v>129</v>
      </c>
      <c r="E17" s="8" t="s">
        <v>90</v>
      </c>
      <c r="F17" s="8" t="s">
        <v>262</v>
      </c>
      <c r="G17" s="8" t="s">
        <v>90</v>
      </c>
      <c r="H17" s="8" t="s">
        <v>263</v>
      </c>
      <c r="I17" s="8" t="s">
        <v>197</v>
      </c>
      <c r="J17" s="8" t="s">
        <v>264</v>
      </c>
      <c r="K17" s="8" t="s">
        <v>265</v>
      </c>
      <c r="L17" s="8" t="s">
        <v>266</v>
      </c>
      <c r="M17" s="8" t="s">
        <v>96</v>
      </c>
      <c r="N17" s="8" t="s">
        <v>153</v>
      </c>
      <c r="O17" s="8" t="s">
        <v>267</v>
      </c>
      <c r="P17" s="8" t="s">
        <v>74</v>
      </c>
      <c r="Q17" s="8" t="s">
        <v>268</v>
      </c>
      <c r="R17" s="8" t="s">
        <v>125</v>
      </c>
      <c r="S17" s="8" t="s">
        <v>83</v>
      </c>
      <c r="T17" s="8" t="s">
        <v>269</v>
      </c>
      <c r="U17" s="8">
        <v>0</v>
      </c>
      <c r="V17" s="9" t="str">
        <f>IF(R17="","",INDEX(Listas!$B$2:$B$6,MIN(5,MATCH(R17,Listas!$B$2:$B$6,0)+IF(U17="",0,U17))))</f>
        <v>Bajo</v>
      </c>
      <c r="W17" s="9" t="str">
        <f>IF(OR(P17="",V17=""),"",INDEX('Decisión'!$B$4:$F$8,MATCH(P17,'Decisión'!$A$4:$A$8,0),MATCH(V17,'Decisión'!$B$3:$F$3,0)))</f>
        <v>Medio</v>
      </c>
      <c r="X17" s="8" t="s">
        <v>78</v>
      </c>
      <c r="Y17" s="8" t="s">
        <v>270</v>
      </c>
      <c r="Z17" s="8" t="s">
        <v>173</v>
      </c>
      <c r="AA17" s="8" t="s">
        <v>123</v>
      </c>
      <c r="AB17" s="8" t="s">
        <v>82</v>
      </c>
      <c r="AC17" s="8" t="s">
        <v>125</v>
      </c>
      <c r="AD17" s="9" t="str">
        <f>IF(OR(AB17="",AC17=""),"",INDEX('Decisión'!$B$4:$F$8,MATCH(AB17,'Decisión'!$A$4:$A$8,0),MATCH(AC17,'Decisión'!$B$3:$F$3,0)))</f>
        <v>Bajo</v>
      </c>
      <c r="AE17" s="9" t="str">
        <f>IF(W17="","",IF(OR(W17="Alto",W17="Muy alto"),IF(OR(E17="Sí",G17="Sí"),"Sí (obligatoria)","Valorar"),"Recomendada por defecto"))</f>
        <v>Recomendada por defecto</v>
      </c>
      <c r="AF17" s="9" t="str">
        <f>IF(AD17="","",IF(AC17="Muy alto","Requiere observaciones DPD/jurídico y aprobación de la máxima autoridad",IF(OR(AD17="Muy bajo",AD17="Bajo"),"Aceptable (registrar y monitorear)",IF(AD17="Medio","Tratar en plan anual o aceptación formal","No aceptable: tratamiento prioritario"))))</f>
        <v>Aceptable (registrar y monitorear)</v>
      </c>
      <c r="AG17" s="8" t="s">
        <v>271</v>
      </c>
      <c r="AH17" s="8" t="s">
        <v>161</v>
      </c>
    </row>
    <row r="18" spans="1:34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9" t="str">
        <f>IF(R18="","",INDEX(Listas!$B$2:$B$6,MIN(5,MATCH(R18,Listas!$B$2:$B$6,0)+IF(U18="",0,U18))))</f>
        <v/>
      </c>
      <c r="W18" s="9" t="str">
        <f>IF(OR(P18="",V18=""),"",INDEX('Decisión'!$B$4:$F$8,MATCH(P18,'Decisión'!$A$4:$A$8,0),MATCH(V18,'Decisión'!$B$3:$F$3,0)))</f>
        <v/>
      </c>
      <c r="X18" s="8"/>
      <c r="Y18" s="8"/>
      <c r="Z18" s="8"/>
      <c r="AA18" s="8"/>
      <c r="AB18" s="8"/>
      <c r="AC18" s="8"/>
      <c r="AD18" s="9" t="str">
        <f>IF(OR(AB18="",AC18=""),"",INDEX('Decisión'!$B$4:$F$8,MATCH(AB18,'Decisión'!$A$4:$A$8,0),MATCH(AC18,'Decisión'!$B$3:$F$3,0)))</f>
        <v/>
      </c>
      <c r="AE18" s="9" t="str">
        <f>IF(W18="","",IF(OR(W18="Alto",W18="Muy alto"),IF(OR(E18="Sí",G18="Sí"),"Sí (obligatoria)","Valorar"),"Recomendada por defecto"))</f>
        <v/>
      </c>
      <c r="AF18" s="9" t="str">
        <f>IF(AD18="","",IF(AC18="Muy alto","Requiere observaciones DPD/jurídico y aprobación de la máxima autoridad",IF(OR(AD18="Muy bajo",AD18="Bajo"),"Aceptable (registrar y monitorear)",IF(AD18="Medio","Tratar en plan anual o aceptación formal","No aceptable: tratamiento prioritario"))))</f>
        <v/>
      </c>
      <c r="AG18" s="8"/>
      <c r="AH18" s="8"/>
    </row>
    <row r="19" spans="1:34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9" t="str">
        <f>IF(R19="","",INDEX(Listas!$B$2:$B$6,MIN(5,MATCH(R19,Listas!$B$2:$B$6,0)+IF(U19="",0,U19))))</f>
        <v/>
      </c>
      <c r="W19" s="9" t="str">
        <f>IF(OR(P19="",V19=""),"",INDEX('Decisión'!$B$4:$F$8,MATCH(P19,'Decisión'!$A$4:$A$8,0),MATCH(V19,'Decisión'!$B$3:$F$3,0)))</f>
        <v/>
      </c>
      <c r="X19" s="8"/>
      <c r="Y19" s="8"/>
      <c r="Z19" s="8"/>
      <c r="AA19" s="8"/>
      <c r="AB19" s="8"/>
      <c r="AC19" s="8"/>
      <c r="AD19" s="9" t="str">
        <f>IF(OR(AB19="",AC19=""),"",INDEX('Decisión'!$B$4:$F$8,MATCH(AB19,'Decisión'!$A$4:$A$8,0),MATCH(AC19,'Decisión'!$B$3:$F$3,0)))</f>
        <v/>
      </c>
      <c r="AE19" s="9" t="str">
        <f>IF(W19="","",IF(OR(W19="Alto",W19="Muy alto"),IF(OR(E19="Sí",G19="Sí"),"Sí (obligatoria)","Valorar"),"Recomendada por defecto"))</f>
        <v/>
      </c>
      <c r="AF19" s="9" t="str">
        <f>IF(AD19="","",IF(AC19="Muy alto","Requiere observaciones DPD/jurídico y aprobación de la máxima autoridad",IF(OR(AD19="Muy bajo",AD19="Bajo"),"Aceptable (registrar y monitorear)",IF(AD19="Medio","Tratar en plan anual o aceptación formal","No aceptable: tratamiento prioritario"))))</f>
        <v/>
      </c>
      <c r="AG19" s="8"/>
      <c r="AH19" s="8"/>
    </row>
    <row r="20" spans="1:34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9" t="str">
        <f>IF(R20="","",INDEX(Listas!$B$2:$B$6,MIN(5,MATCH(R20,Listas!$B$2:$B$6,0)+IF(U20="",0,U20))))</f>
        <v/>
      </c>
      <c r="W20" s="9" t="str">
        <f>IF(OR(P20="",V20=""),"",INDEX('Decisión'!$B$4:$F$8,MATCH(P20,'Decisión'!$A$4:$A$8,0),MATCH(V20,'Decisión'!$B$3:$F$3,0)))</f>
        <v/>
      </c>
      <c r="X20" s="8"/>
      <c r="Y20" s="8"/>
      <c r="Z20" s="8"/>
      <c r="AA20" s="8"/>
      <c r="AB20" s="8"/>
      <c r="AC20" s="8"/>
      <c r="AD20" s="9" t="str">
        <f>IF(OR(AB20="",AC20=""),"",INDEX('Decisión'!$B$4:$F$8,MATCH(AB20,'Decisión'!$A$4:$A$8,0),MATCH(AC20,'Decisión'!$B$3:$F$3,0)))</f>
        <v/>
      </c>
      <c r="AE20" s="9" t="str">
        <f>IF(W20="","",IF(OR(W20="Alto",W20="Muy alto"),IF(OR(E20="Sí",G20="Sí"),"Sí (obligatoria)","Valorar"),"Recomendada por defecto"))</f>
        <v/>
      </c>
      <c r="AF20" s="9" t="str">
        <f>IF(AD20="","",IF(AC20="Muy alto","Requiere observaciones DPD/jurídico y aprobación de la máxima autoridad",IF(OR(AD20="Muy bajo",AD20="Bajo"),"Aceptable (registrar y monitorear)",IF(AD20="Medio","Tratar en plan anual o aceptación formal","No aceptable: tratamiento prioritario"))))</f>
        <v/>
      </c>
      <c r="AG20" s="8"/>
      <c r="AH20" s="8"/>
    </row>
    <row r="21" spans="1:34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9" t="str">
        <f>IF(R21="","",INDEX(Listas!$B$2:$B$6,MIN(5,MATCH(R21,Listas!$B$2:$B$6,0)+IF(U21="",0,U21))))</f>
        <v/>
      </c>
      <c r="W21" s="9" t="str">
        <f>IF(OR(P21="",V21=""),"",INDEX('Decisión'!$B$4:$F$8,MATCH(P21,'Decisión'!$A$4:$A$8,0),MATCH(V21,'Decisión'!$B$3:$F$3,0)))</f>
        <v/>
      </c>
      <c r="X21" s="8"/>
      <c r="Y21" s="8"/>
      <c r="Z21" s="8"/>
      <c r="AA21" s="8"/>
      <c r="AB21" s="8"/>
      <c r="AC21" s="8"/>
      <c r="AD21" s="9" t="str">
        <f>IF(OR(AB21="",AC21=""),"",INDEX('Decisión'!$B$4:$F$8,MATCH(AB21,'Decisión'!$A$4:$A$8,0),MATCH(AC21,'Decisión'!$B$3:$F$3,0)))</f>
        <v/>
      </c>
      <c r="AE21" s="9" t="str">
        <f>IF(W21="","",IF(OR(W21="Alto",W21="Muy alto"),IF(OR(E21="Sí",G21="Sí"),"Sí (obligatoria)","Valorar"),"Recomendada por defecto"))</f>
        <v/>
      </c>
      <c r="AF21" s="9" t="str">
        <f>IF(AD21="","",IF(AC21="Muy alto","Requiere observaciones DPD/jurídico y aprobación de la máxima autoridad",IF(OR(AD21="Muy bajo",AD21="Bajo"),"Aceptable (registrar y monitorear)",IF(AD21="Medio","Tratar en plan anual o aceptación formal","No aceptable: tratamiento prioritario"))))</f>
        <v/>
      </c>
      <c r="AG21" s="8"/>
      <c r="AH21" s="8"/>
    </row>
    <row r="22" spans="1:34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 t="str">
        <f>IF(R22="","",INDEX(Listas!$B$2:$B$6,MIN(5,MATCH(R22,Listas!$B$2:$B$6,0)+IF(U22="",0,U22))))</f>
        <v/>
      </c>
      <c r="W22" s="9" t="str">
        <f>IF(OR(P22="",V22=""),"",INDEX('Decisión'!$B$4:$F$8,MATCH(P22,'Decisión'!$A$4:$A$8,0),MATCH(V22,'Decisión'!$B$3:$F$3,0)))</f>
        <v/>
      </c>
      <c r="X22" s="8"/>
      <c r="Y22" s="8"/>
      <c r="Z22" s="8"/>
      <c r="AA22" s="8"/>
      <c r="AB22" s="8"/>
      <c r="AC22" s="8"/>
      <c r="AD22" s="9" t="str">
        <f>IF(OR(AB22="",AC22=""),"",INDEX('Decisión'!$B$4:$F$8,MATCH(AB22,'Decisión'!$A$4:$A$8,0),MATCH(AC22,'Decisión'!$B$3:$F$3,0)))</f>
        <v/>
      </c>
      <c r="AE22" s="9" t="str">
        <f>IF(W22="","",IF(OR(W22="Alto",W22="Muy alto"),IF(OR(E22="Sí",G22="Sí"),"Sí (obligatoria)","Valorar"),"Recomendada por defecto"))</f>
        <v/>
      </c>
      <c r="AF22" s="9" t="str">
        <f>IF(AD22="","",IF(AC22="Muy alto","Requiere observaciones DPD/jurídico y aprobación de la máxima autoridad",IF(OR(AD22="Muy bajo",AD22="Bajo"),"Aceptable (registrar y monitorear)",IF(AD22="Medio","Tratar en plan anual o aceptación formal","No aceptable: tratamiento prioritario"))))</f>
        <v/>
      </c>
      <c r="AG22" s="8"/>
      <c r="AH22" s="8"/>
    </row>
    <row r="23" spans="1:34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9" t="str">
        <f>IF(R23="","",INDEX(Listas!$B$2:$B$6,MIN(5,MATCH(R23,Listas!$B$2:$B$6,0)+IF(U23="",0,U23))))</f>
        <v/>
      </c>
      <c r="W23" s="9" t="str">
        <f>IF(OR(P23="",V23=""),"",INDEX('Decisión'!$B$4:$F$8,MATCH(P23,'Decisión'!$A$4:$A$8,0),MATCH(V23,'Decisión'!$B$3:$F$3,0)))</f>
        <v/>
      </c>
      <c r="X23" s="8"/>
      <c r="Y23" s="8"/>
      <c r="Z23" s="8"/>
      <c r="AA23" s="8"/>
      <c r="AB23" s="8"/>
      <c r="AC23" s="8"/>
      <c r="AD23" s="9" t="str">
        <f>IF(OR(AB23="",AC23=""),"",INDEX('Decisión'!$B$4:$F$8,MATCH(AB23,'Decisión'!$A$4:$A$8,0),MATCH(AC23,'Decisión'!$B$3:$F$3,0)))</f>
        <v/>
      </c>
      <c r="AE23" s="9" t="str">
        <f>IF(W23="","",IF(OR(W23="Alto",W23="Muy alto"),IF(OR(E23="Sí",G23="Sí"),"Sí (obligatoria)","Valorar"),"Recomendada por defecto"))</f>
        <v/>
      </c>
      <c r="AF23" s="9" t="str">
        <f>IF(AD23="","",IF(AC23="Muy alto","Requiere observaciones DPD/jurídico y aprobación de la máxima autoridad",IF(OR(AD23="Muy bajo",AD23="Bajo"),"Aceptable (registrar y monitorear)",IF(AD23="Medio","Tratar en plan anual o aceptación formal","No aceptable: tratamiento prioritario"))))</f>
        <v/>
      </c>
      <c r="AG23" s="8"/>
      <c r="AH23" s="8"/>
    </row>
    <row r="24" spans="1:34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9" t="str">
        <f>IF(R24="","",INDEX(Listas!$B$2:$B$6,MIN(5,MATCH(R24,Listas!$B$2:$B$6,0)+IF(U24="",0,U24))))</f>
        <v/>
      </c>
      <c r="W24" s="9" t="str">
        <f>IF(OR(P24="",V24=""),"",INDEX('Decisión'!$B$4:$F$8,MATCH(P24,'Decisión'!$A$4:$A$8,0),MATCH(V24,'Decisión'!$B$3:$F$3,0)))</f>
        <v/>
      </c>
      <c r="X24" s="8"/>
      <c r="Y24" s="8"/>
      <c r="Z24" s="8"/>
      <c r="AA24" s="8"/>
      <c r="AB24" s="8"/>
      <c r="AC24" s="8"/>
      <c r="AD24" s="9" t="str">
        <f>IF(OR(AB24="",AC24=""),"",INDEX('Decisión'!$B$4:$F$8,MATCH(AB24,'Decisión'!$A$4:$A$8,0),MATCH(AC24,'Decisión'!$B$3:$F$3,0)))</f>
        <v/>
      </c>
      <c r="AE24" s="9" t="str">
        <f>IF(W24="","",IF(OR(W24="Alto",W24="Muy alto"),IF(OR(E24="Sí",G24="Sí"),"Sí (obligatoria)","Valorar"),"Recomendada por defecto"))</f>
        <v/>
      </c>
      <c r="AF24" s="9" t="str">
        <f>IF(AD24="","",IF(AC24="Muy alto","Requiere observaciones DPD/jurídico y aprobación de la máxima autoridad",IF(OR(AD24="Muy bajo",AD24="Bajo"),"Aceptable (registrar y monitorear)",IF(AD24="Medio","Tratar en plan anual o aceptación formal","No aceptable: tratamiento prioritario"))))</f>
        <v/>
      </c>
      <c r="AG24" s="8"/>
      <c r="AH24" s="8"/>
    </row>
    <row r="25" spans="1:34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 t="str">
        <f>IF(R25="","",INDEX(Listas!$B$2:$B$6,MIN(5,MATCH(R25,Listas!$B$2:$B$6,0)+IF(U25="",0,U25))))</f>
        <v/>
      </c>
      <c r="W25" s="9" t="str">
        <f>IF(OR(P25="",V25=""),"",INDEX('Decisión'!$B$4:$F$8,MATCH(P25,'Decisión'!$A$4:$A$8,0),MATCH(V25,'Decisión'!$B$3:$F$3,0)))</f>
        <v/>
      </c>
      <c r="X25" s="8"/>
      <c r="Y25" s="8"/>
      <c r="Z25" s="8"/>
      <c r="AA25" s="8"/>
      <c r="AB25" s="8"/>
      <c r="AC25" s="8"/>
      <c r="AD25" s="9" t="str">
        <f>IF(OR(AB25="",AC25=""),"",INDEX('Decisión'!$B$4:$F$8,MATCH(AB25,'Decisión'!$A$4:$A$8,0),MATCH(AC25,'Decisión'!$B$3:$F$3,0)))</f>
        <v/>
      </c>
      <c r="AE25" s="9" t="str">
        <f>IF(W25="","",IF(OR(W25="Alto",W25="Muy alto"),IF(OR(E25="Sí",G25="Sí"),"Sí (obligatoria)","Valorar"),"Recomendada por defecto"))</f>
        <v/>
      </c>
      <c r="AF25" s="9" t="str">
        <f>IF(AD25="","",IF(AC25="Muy alto","Requiere observaciones DPD/jurídico y aprobación de la máxima autoridad",IF(OR(AD25="Muy bajo",AD25="Bajo"),"Aceptable (registrar y monitorear)",IF(AD25="Medio","Tratar en plan anual o aceptación formal","No aceptable: tratamiento prioritario"))))</f>
        <v/>
      </c>
      <c r="AG25" s="8"/>
      <c r="AH25" s="8"/>
    </row>
    <row r="26" spans="1:34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9" t="str">
        <f>IF(R26="","",INDEX(Listas!$B$2:$B$6,MIN(5,MATCH(R26,Listas!$B$2:$B$6,0)+IF(U26="",0,U26))))</f>
        <v/>
      </c>
      <c r="W26" s="9" t="str">
        <f>IF(OR(P26="",V26=""),"",INDEX('Decisión'!$B$4:$F$8,MATCH(P26,'Decisión'!$A$4:$A$8,0),MATCH(V26,'Decisión'!$B$3:$F$3,0)))</f>
        <v/>
      </c>
      <c r="X26" s="8"/>
      <c r="Y26" s="8"/>
      <c r="Z26" s="8"/>
      <c r="AA26" s="8"/>
      <c r="AB26" s="8"/>
      <c r="AC26" s="8"/>
      <c r="AD26" s="9" t="str">
        <f>IF(OR(AB26="",AC26=""),"",INDEX('Decisión'!$B$4:$F$8,MATCH(AB26,'Decisión'!$A$4:$A$8,0),MATCH(AC26,'Decisión'!$B$3:$F$3,0)))</f>
        <v/>
      </c>
      <c r="AE26" s="9" t="str">
        <f>IF(W26="","",IF(OR(W26="Alto",W26="Muy alto"),IF(OR(E26="Sí",G26="Sí"),"Sí (obligatoria)","Valorar"),"Recomendada por defecto"))</f>
        <v/>
      </c>
      <c r="AF26" s="9" t="str">
        <f>IF(AD26="","",IF(AC26="Muy alto","Requiere observaciones DPD/jurídico y aprobación de la máxima autoridad",IF(OR(AD26="Muy bajo",AD26="Bajo"),"Aceptable (registrar y monitorear)",IF(AD26="Medio","Tratar en plan anual o aceptación formal","No aceptable: tratamiento prioritario"))))</f>
        <v/>
      </c>
      <c r="AG26" s="8"/>
      <c r="AH26" s="8"/>
    </row>
    <row r="27" spans="1:34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9" t="str">
        <f>IF(R27="","",INDEX(Listas!$B$2:$B$6,MIN(5,MATCH(R27,Listas!$B$2:$B$6,0)+IF(U27="",0,U27))))</f>
        <v/>
      </c>
      <c r="W27" s="9" t="str">
        <f>IF(OR(P27="",V27=""),"",INDEX('Decisión'!$B$4:$F$8,MATCH(P27,'Decisión'!$A$4:$A$8,0),MATCH(V27,'Decisión'!$B$3:$F$3,0)))</f>
        <v/>
      </c>
      <c r="X27" s="8"/>
      <c r="Y27" s="8"/>
      <c r="Z27" s="8"/>
      <c r="AA27" s="8"/>
      <c r="AB27" s="8"/>
      <c r="AC27" s="8"/>
      <c r="AD27" s="9" t="str">
        <f>IF(OR(AB27="",AC27=""),"",INDEX('Decisión'!$B$4:$F$8,MATCH(AB27,'Decisión'!$A$4:$A$8,0),MATCH(AC27,'Decisión'!$B$3:$F$3,0)))</f>
        <v/>
      </c>
      <c r="AE27" s="9" t="str">
        <f>IF(W27="","",IF(OR(W27="Alto",W27="Muy alto"),IF(OR(E27="Sí",G27="Sí"),"Sí (obligatoria)","Valorar"),"Recomendada por defecto"))</f>
        <v/>
      </c>
      <c r="AF27" s="9" t="str">
        <f>IF(AD27="","",IF(AC27="Muy alto","Requiere observaciones DPD/jurídico y aprobación de la máxima autoridad",IF(OR(AD27="Muy bajo",AD27="Bajo"),"Aceptable (registrar y monitorear)",IF(AD27="Medio","Tratar en plan anual o aceptación formal","No aceptable: tratamiento prioritario"))))</f>
        <v/>
      </c>
      <c r="AG27" s="8"/>
      <c r="AH27" s="8"/>
    </row>
    <row r="28" spans="1:34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9" t="str">
        <f>IF(R28="","",INDEX(Listas!$B$2:$B$6,MIN(5,MATCH(R28,Listas!$B$2:$B$6,0)+IF(U28="",0,U28))))</f>
        <v/>
      </c>
      <c r="W28" s="9" t="str">
        <f>IF(OR(P28="",V28=""),"",INDEX('Decisión'!$B$4:$F$8,MATCH(P28,'Decisión'!$A$4:$A$8,0),MATCH(V28,'Decisión'!$B$3:$F$3,0)))</f>
        <v/>
      </c>
      <c r="X28" s="8"/>
      <c r="Y28" s="8"/>
      <c r="Z28" s="8"/>
      <c r="AA28" s="8"/>
      <c r="AB28" s="8"/>
      <c r="AC28" s="8"/>
      <c r="AD28" s="9" t="str">
        <f>IF(OR(AB28="",AC28=""),"",INDEX('Decisión'!$B$4:$F$8,MATCH(AB28,'Decisión'!$A$4:$A$8,0),MATCH(AC28,'Decisión'!$B$3:$F$3,0)))</f>
        <v/>
      </c>
      <c r="AE28" s="9" t="str">
        <f>IF(W28="","",IF(OR(W28="Alto",W28="Muy alto"),IF(OR(E28="Sí",G28="Sí"),"Sí (obligatoria)","Valorar"),"Recomendada por defecto"))</f>
        <v/>
      </c>
      <c r="AF28" s="9" t="str">
        <f>IF(AD28="","",IF(AC28="Muy alto","Requiere observaciones DPD/jurídico y aprobación de la máxima autoridad",IF(OR(AD28="Muy bajo",AD28="Bajo"),"Aceptable (registrar y monitorear)",IF(AD28="Medio","Tratar en plan anual o aceptación formal","No aceptable: tratamiento prioritario"))))</f>
        <v/>
      </c>
      <c r="AG28" s="8"/>
      <c r="AH28" s="8"/>
    </row>
    <row r="29" spans="1:34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9" t="str">
        <f>IF(R29="","",INDEX(Listas!$B$2:$B$6,MIN(5,MATCH(R29,Listas!$B$2:$B$6,0)+IF(U29="",0,U29))))</f>
        <v/>
      </c>
      <c r="W29" s="9" t="str">
        <f>IF(OR(P29="",V29=""),"",INDEX('Decisión'!$B$4:$F$8,MATCH(P29,'Decisión'!$A$4:$A$8,0),MATCH(V29,'Decisión'!$B$3:$F$3,0)))</f>
        <v/>
      </c>
      <c r="X29" s="8"/>
      <c r="Y29" s="8"/>
      <c r="Z29" s="8"/>
      <c r="AA29" s="8"/>
      <c r="AB29" s="8"/>
      <c r="AC29" s="8"/>
      <c r="AD29" s="9" t="str">
        <f>IF(OR(AB29="",AC29=""),"",INDEX('Decisión'!$B$4:$F$8,MATCH(AB29,'Decisión'!$A$4:$A$8,0),MATCH(AC29,'Decisión'!$B$3:$F$3,0)))</f>
        <v/>
      </c>
      <c r="AE29" s="9" t="str">
        <f>IF(W29="","",IF(OR(W29="Alto",W29="Muy alto"),IF(OR(E29="Sí",G29="Sí"),"Sí (obligatoria)","Valorar"),"Recomendada por defecto"))</f>
        <v/>
      </c>
      <c r="AF29" s="9" t="str">
        <f>IF(AD29="","",IF(AC29="Muy alto","Requiere observaciones DPD/jurídico y aprobación de la máxima autoridad",IF(OR(AD29="Muy bajo",AD29="Bajo"),"Aceptable (registrar y monitorear)",IF(AD29="Medio","Tratar en plan anual o aceptación formal","No aceptable: tratamiento prioritario"))))</f>
        <v/>
      </c>
      <c r="AG29" s="8"/>
      <c r="AH29" s="8"/>
    </row>
    <row r="30" spans="1:34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 t="str">
        <f>IF(R30="","",INDEX(Listas!$B$2:$B$6,MIN(5,MATCH(R30,Listas!$B$2:$B$6,0)+IF(U30="",0,U30))))</f>
        <v/>
      </c>
      <c r="W30" s="9" t="str">
        <f>IF(OR(P30="",V30=""),"",INDEX('Decisión'!$B$4:$F$8,MATCH(P30,'Decisión'!$A$4:$A$8,0),MATCH(V30,'Decisión'!$B$3:$F$3,0)))</f>
        <v/>
      </c>
      <c r="X30" s="8"/>
      <c r="Y30" s="8"/>
      <c r="Z30" s="8"/>
      <c r="AA30" s="8"/>
      <c r="AB30" s="8"/>
      <c r="AC30" s="8"/>
      <c r="AD30" s="9" t="str">
        <f>IF(OR(AB30="",AC30=""),"",INDEX('Decisión'!$B$4:$F$8,MATCH(AB30,'Decisión'!$A$4:$A$8,0),MATCH(AC30,'Decisión'!$B$3:$F$3,0)))</f>
        <v/>
      </c>
      <c r="AE30" s="9" t="str">
        <f>IF(W30="","",IF(OR(W30="Alto",W30="Muy alto"),IF(OR(E30="Sí",G30="Sí"),"Sí (obligatoria)","Valorar"),"Recomendada por defecto"))</f>
        <v/>
      </c>
      <c r="AF30" s="9" t="str">
        <f>IF(AD30="","",IF(AC30="Muy alto","Requiere observaciones DPD/jurídico y aprobación de la máxima autoridad",IF(OR(AD30="Muy bajo",AD30="Bajo"),"Aceptable (registrar y monitorear)",IF(AD30="Medio","Tratar en plan anual o aceptación formal","No aceptable: tratamiento prioritario"))))</f>
        <v/>
      </c>
      <c r="AG30" s="8"/>
      <c r="AH30" s="8"/>
    </row>
    <row r="31" spans="1:34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9" t="str">
        <f>IF(R31="","",INDEX(Listas!$B$2:$B$6,MIN(5,MATCH(R31,Listas!$B$2:$B$6,0)+IF(U31="",0,U31))))</f>
        <v/>
      </c>
      <c r="W31" s="9" t="str">
        <f>IF(OR(P31="",V31=""),"",INDEX('Decisión'!$B$4:$F$8,MATCH(P31,'Decisión'!$A$4:$A$8,0),MATCH(V31,'Decisión'!$B$3:$F$3,0)))</f>
        <v/>
      </c>
      <c r="X31" s="8"/>
      <c r="Y31" s="8"/>
      <c r="Z31" s="8"/>
      <c r="AA31" s="8"/>
      <c r="AB31" s="8"/>
      <c r="AC31" s="8"/>
      <c r="AD31" s="9" t="str">
        <f>IF(OR(AB31="",AC31=""),"",INDEX('Decisión'!$B$4:$F$8,MATCH(AB31,'Decisión'!$A$4:$A$8,0),MATCH(AC31,'Decisión'!$B$3:$F$3,0)))</f>
        <v/>
      </c>
      <c r="AE31" s="9" t="str">
        <f>IF(W31="","",IF(OR(W31="Alto",W31="Muy alto"),IF(OR(E31="Sí",G31="Sí"),"Sí (obligatoria)","Valorar"),"Recomendada por defecto"))</f>
        <v/>
      </c>
      <c r="AF31" s="9" t="str">
        <f>IF(AD31="","",IF(AC31="Muy alto","Requiere observaciones DPD/jurídico y aprobación de la máxima autoridad",IF(OR(AD31="Muy bajo",AD31="Bajo"),"Aceptable (registrar y monitorear)",IF(AD31="Medio","Tratar en plan anual o aceptación formal","No aceptable: tratamiento prioritario"))))</f>
        <v/>
      </c>
      <c r="AG31" s="8"/>
      <c r="AH31" s="8"/>
    </row>
    <row r="32" spans="1:34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9" t="str">
        <f>IF(R32="","",INDEX(Listas!$B$2:$B$6,MIN(5,MATCH(R32,Listas!$B$2:$B$6,0)+IF(U32="",0,U32))))</f>
        <v/>
      </c>
      <c r="W32" s="9" t="str">
        <f>IF(OR(P32="",V32=""),"",INDEX('Decisión'!$B$4:$F$8,MATCH(P32,'Decisión'!$A$4:$A$8,0),MATCH(V32,'Decisión'!$B$3:$F$3,0)))</f>
        <v/>
      </c>
      <c r="X32" s="8"/>
      <c r="Y32" s="8"/>
      <c r="Z32" s="8"/>
      <c r="AA32" s="8"/>
      <c r="AB32" s="8"/>
      <c r="AC32" s="8"/>
      <c r="AD32" s="9" t="str">
        <f>IF(OR(AB32="",AC32=""),"",INDEX('Decisión'!$B$4:$F$8,MATCH(AB32,'Decisión'!$A$4:$A$8,0),MATCH(AC32,'Decisión'!$B$3:$F$3,0)))</f>
        <v/>
      </c>
      <c r="AE32" s="9" t="str">
        <f>IF(W32="","",IF(OR(W32="Alto",W32="Muy alto"),IF(OR(E32="Sí",G32="Sí"),"Sí (obligatoria)","Valorar"),"Recomendada por defecto"))</f>
        <v/>
      </c>
      <c r="AF32" s="9" t="str">
        <f>IF(AD32="","",IF(AC32="Muy alto","Requiere observaciones DPD/jurídico y aprobación de la máxima autoridad",IF(OR(AD32="Muy bajo",AD32="Bajo"),"Aceptable (registrar y monitorear)",IF(AD32="Medio","Tratar en plan anual o aceptación formal","No aceptable: tratamiento prioritario"))))</f>
        <v/>
      </c>
      <c r="AG32" s="8"/>
      <c r="AH32" s="8"/>
    </row>
    <row r="33" spans="1:34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9" t="str">
        <f>IF(R33="","",INDEX(Listas!$B$2:$B$6,MIN(5,MATCH(R33,Listas!$B$2:$B$6,0)+IF(U33="",0,U33))))</f>
        <v/>
      </c>
      <c r="W33" s="9" t="str">
        <f>IF(OR(P33="",V33=""),"",INDEX('Decisión'!$B$4:$F$8,MATCH(P33,'Decisión'!$A$4:$A$8,0),MATCH(V33,'Decisión'!$B$3:$F$3,0)))</f>
        <v/>
      </c>
      <c r="X33" s="8"/>
      <c r="Y33" s="8"/>
      <c r="Z33" s="8"/>
      <c r="AA33" s="8"/>
      <c r="AB33" s="8"/>
      <c r="AC33" s="8"/>
      <c r="AD33" s="9" t="str">
        <f>IF(OR(AB33="",AC33=""),"",INDEX('Decisión'!$B$4:$F$8,MATCH(AB33,'Decisión'!$A$4:$A$8,0),MATCH(AC33,'Decisión'!$B$3:$F$3,0)))</f>
        <v/>
      </c>
      <c r="AE33" s="9" t="str">
        <f>IF(W33="","",IF(OR(W33="Alto",W33="Muy alto"),IF(OR(E33="Sí",G33="Sí"),"Sí (obligatoria)","Valorar"),"Recomendada por defecto"))</f>
        <v/>
      </c>
      <c r="AF33" s="9" t="str">
        <f>IF(AD33="","",IF(AC33="Muy alto","Requiere observaciones DPD/jurídico y aprobación de la máxima autoridad",IF(OR(AD33="Muy bajo",AD33="Bajo"),"Aceptable (registrar y monitorear)",IF(AD33="Medio","Tratar en plan anual o aceptación formal","No aceptable: tratamiento prioritario"))))</f>
        <v/>
      </c>
      <c r="AG33" s="8"/>
      <c r="AH33" s="8"/>
    </row>
    <row r="34" spans="1:34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 t="str">
        <f>IF(R34="","",INDEX(Listas!$B$2:$B$6,MIN(5,MATCH(R34,Listas!$B$2:$B$6,0)+IF(U34="",0,U34))))</f>
        <v/>
      </c>
      <c r="W34" s="9" t="str">
        <f>IF(OR(P34="",V34=""),"",INDEX('Decisión'!$B$4:$F$8,MATCH(P34,'Decisión'!$A$4:$A$8,0),MATCH(V34,'Decisión'!$B$3:$F$3,0)))</f>
        <v/>
      </c>
      <c r="X34" s="8"/>
      <c r="Y34" s="8"/>
      <c r="Z34" s="8"/>
      <c r="AA34" s="8"/>
      <c r="AB34" s="8"/>
      <c r="AC34" s="8"/>
      <c r="AD34" s="9" t="str">
        <f>IF(OR(AB34="",AC34=""),"",INDEX('Decisión'!$B$4:$F$8,MATCH(AB34,'Decisión'!$A$4:$A$8,0),MATCH(AC34,'Decisión'!$B$3:$F$3,0)))</f>
        <v/>
      </c>
      <c r="AE34" s="9" t="str">
        <f>IF(W34="","",IF(OR(W34="Alto",W34="Muy alto"),IF(OR(E34="Sí",G34="Sí"),"Sí (obligatoria)","Valorar"),"Recomendada por defecto"))</f>
        <v/>
      </c>
      <c r="AF34" s="9" t="str">
        <f>IF(AD34="","",IF(AC34="Muy alto","Requiere observaciones DPD/jurídico y aprobación de la máxima autoridad",IF(OR(AD34="Muy bajo",AD34="Bajo"),"Aceptable (registrar y monitorear)",IF(AD34="Medio","Tratar en plan anual o aceptación formal","No aceptable: tratamiento prioritario"))))</f>
        <v/>
      </c>
      <c r="AG34" s="8"/>
      <c r="AH34" s="8"/>
    </row>
    <row r="35" spans="1:34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9" t="str">
        <f>IF(R35="","",INDEX(Listas!$B$2:$B$6,MIN(5,MATCH(R35,Listas!$B$2:$B$6,0)+IF(U35="",0,U35))))</f>
        <v/>
      </c>
      <c r="W35" s="9" t="str">
        <f>IF(OR(P35="",V35=""),"",INDEX('Decisión'!$B$4:$F$8,MATCH(P35,'Decisión'!$A$4:$A$8,0),MATCH(V35,'Decisión'!$B$3:$F$3,0)))</f>
        <v/>
      </c>
      <c r="X35" s="8"/>
      <c r="Y35" s="8"/>
      <c r="Z35" s="8"/>
      <c r="AA35" s="8"/>
      <c r="AB35" s="8"/>
      <c r="AC35" s="8"/>
      <c r="AD35" s="9" t="str">
        <f>IF(OR(AB35="",AC35=""),"",INDEX('Decisión'!$B$4:$F$8,MATCH(AB35,'Decisión'!$A$4:$A$8,0),MATCH(AC35,'Decisión'!$B$3:$F$3,0)))</f>
        <v/>
      </c>
      <c r="AE35" s="9" t="str">
        <f>IF(W35="","",IF(OR(W35="Alto",W35="Muy alto"),IF(OR(E35="Sí",G35="Sí"),"Sí (obligatoria)","Valorar"),"Recomendada por defecto"))</f>
        <v/>
      </c>
      <c r="AF35" s="9" t="str">
        <f>IF(AD35="","",IF(AC35="Muy alto","Requiere observaciones DPD/jurídico y aprobación de la máxima autoridad",IF(OR(AD35="Muy bajo",AD35="Bajo"),"Aceptable (registrar y monitorear)",IF(AD35="Medio","Tratar en plan anual o aceptación formal","No aceptable: tratamiento prioritario"))))</f>
        <v/>
      </c>
      <c r="AG35" s="8"/>
      <c r="AH35" s="8"/>
    </row>
    <row r="36" spans="1:34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9" t="str">
        <f>IF(R36="","",INDEX(Listas!$B$2:$B$6,MIN(5,MATCH(R36,Listas!$B$2:$B$6,0)+IF(U36="",0,U36))))</f>
        <v/>
      </c>
      <c r="W36" s="9" t="str">
        <f>IF(OR(P36="",V36=""),"",INDEX('Decisión'!$B$4:$F$8,MATCH(P36,'Decisión'!$A$4:$A$8,0),MATCH(V36,'Decisión'!$B$3:$F$3,0)))</f>
        <v/>
      </c>
      <c r="X36" s="8"/>
      <c r="Y36" s="8"/>
      <c r="Z36" s="8"/>
      <c r="AA36" s="8"/>
      <c r="AB36" s="8"/>
      <c r="AC36" s="8"/>
      <c r="AD36" s="9" t="str">
        <f>IF(OR(AB36="",AC36=""),"",INDEX('Decisión'!$B$4:$F$8,MATCH(AB36,'Decisión'!$A$4:$A$8,0),MATCH(AC36,'Decisión'!$B$3:$F$3,0)))</f>
        <v/>
      </c>
      <c r="AE36" s="9" t="str">
        <f>IF(W36="","",IF(OR(W36="Alto",W36="Muy alto"),IF(OR(E36="Sí",G36="Sí"),"Sí (obligatoria)","Valorar"),"Recomendada por defecto"))</f>
        <v/>
      </c>
      <c r="AF36" s="9" t="str">
        <f>IF(AD36="","",IF(AC36="Muy alto","Requiere observaciones DPD/jurídico y aprobación de la máxima autoridad",IF(OR(AD36="Muy bajo",AD36="Bajo"),"Aceptable (registrar y monitorear)",IF(AD36="Medio","Tratar en plan anual o aceptación formal","No aceptable: tratamiento prioritario"))))</f>
        <v/>
      </c>
      <c r="AG36" s="8"/>
      <c r="AH36" s="8"/>
    </row>
    <row r="37" spans="1:34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9" t="str">
        <f>IF(R37="","",INDEX(Listas!$B$2:$B$6,MIN(5,MATCH(R37,Listas!$B$2:$B$6,0)+IF(U37="",0,U37))))</f>
        <v/>
      </c>
      <c r="W37" s="9" t="str">
        <f>IF(OR(P37="",V37=""),"",INDEX('Decisión'!$B$4:$F$8,MATCH(P37,'Decisión'!$A$4:$A$8,0),MATCH(V37,'Decisión'!$B$3:$F$3,0)))</f>
        <v/>
      </c>
      <c r="X37" s="8"/>
      <c r="Y37" s="8"/>
      <c r="Z37" s="8"/>
      <c r="AA37" s="8"/>
      <c r="AB37" s="8"/>
      <c r="AC37" s="8"/>
      <c r="AD37" s="9" t="str">
        <f>IF(OR(AB37="",AC37=""),"",INDEX('Decisión'!$B$4:$F$8,MATCH(AB37,'Decisión'!$A$4:$A$8,0),MATCH(AC37,'Decisión'!$B$3:$F$3,0)))</f>
        <v/>
      </c>
      <c r="AE37" s="9" t="str">
        <f>IF(W37="","",IF(OR(W37="Alto",W37="Muy alto"),IF(OR(E37="Sí",G37="Sí"),"Sí (obligatoria)","Valorar"),"Recomendada por defecto"))</f>
        <v/>
      </c>
      <c r="AF37" s="9" t="str">
        <f>IF(AD37="","",IF(AC37="Muy alto","Requiere observaciones DPD/jurídico y aprobación de la máxima autoridad",IF(OR(AD37="Muy bajo",AD37="Bajo"),"Aceptable (registrar y monitorear)",IF(AD37="Medio","Tratar en plan anual o aceptación formal","No aceptable: tratamiento prioritario"))))</f>
        <v/>
      </c>
      <c r="AG37" s="8"/>
      <c r="AH37" s="8"/>
    </row>
    <row r="38" spans="1:34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9" t="str">
        <f>IF(R38="","",INDEX(Listas!$B$2:$B$6,MIN(5,MATCH(R38,Listas!$B$2:$B$6,0)+IF(U38="",0,U38))))</f>
        <v/>
      </c>
      <c r="W38" s="9" t="str">
        <f>IF(OR(P38="",V38=""),"",INDEX('Decisión'!$B$4:$F$8,MATCH(P38,'Decisión'!$A$4:$A$8,0),MATCH(V38,'Decisión'!$B$3:$F$3,0)))</f>
        <v/>
      </c>
      <c r="X38" s="8"/>
      <c r="Y38" s="8"/>
      <c r="Z38" s="8"/>
      <c r="AA38" s="8"/>
      <c r="AB38" s="8"/>
      <c r="AC38" s="8"/>
      <c r="AD38" s="9" t="str">
        <f>IF(OR(AB38="",AC38=""),"",INDEX('Decisión'!$B$4:$F$8,MATCH(AB38,'Decisión'!$A$4:$A$8,0),MATCH(AC38,'Decisión'!$B$3:$F$3,0)))</f>
        <v/>
      </c>
      <c r="AE38" s="9" t="str">
        <f>IF(W38="","",IF(OR(W38="Alto",W38="Muy alto"),IF(OR(E38="Sí",G38="Sí"),"Sí (obligatoria)","Valorar"),"Recomendada por defecto"))</f>
        <v/>
      </c>
      <c r="AF38" s="9" t="str">
        <f>IF(AD38="","",IF(AC38="Muy alto","Requiere observaciones DPD/jurídico y aprobación de la máxima autoridad",IF(OR(AD38="Muy bajo",AD38="Bajo"),"Aceptable (registrar y monitorear)",IF(AD38="Medio","Tratar en plan anual o aceptación formal","No aceptable: tratamiento prioritario"))))</f>
        <v/>
      </c>
      <c r="AG38" s="8"/>
      <c r="AH38" s="8"/>
    </row>
    <row r="39" spans="1:34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9" t="str">
        <f>IF(R39="","",INDEX(Listas!$B$2:$B$6,MIN(5,MATCH(R39,Listas!$B$2:$B$6,0)+IF(U39="",0,U39))))</f>
        <v/>
      </c>
      <c r="W39" s="9" t="str">
        <f>IF(OR(P39="",V39=""),"",INDEX('Decisión'!$B$4:$F$8,MATCH(P39,'Decisión'!$A$4:$A$8,0),MATCH(V39,'Decisión'!$B$3:$F$3,0)))</f>
        <v/>
      </c>
      <c r="X39" s="8"/>
      <c r="Y39" s="8"/>
      <c r="Z39" s="8"/>
      <c r="AA39" s="8"/>
      <c r="AB39" s="8"/>
      <c r="AC39" s="8"/>
      <c r="AD39" s="9" t="str">
        <f>IF(OR(AB39="",AC39=""),"",INDEX('Decisión'!$B$4:$F$8,MATCH(AB39,'Decisión'!$A$4:$A$8,0),MATCH(AC39,'Decisión'!$B$3:$F$3,0)))</f>
        <v/>
      </c>
      <c r="AE39" s="9" t="str">
        <f>IF(W39="","",IF(OR(W39="Alto",W39="Muy alto"),IF(OR(E39="Sí",G39="Sí"),"Sí (obligatoria)","Valorar"),"Recomendada por defecto"))</f>
        <v/>
      </c>
      <c r="AF39" s="9" t="str">
        <f>IF(AD39="","",IF(AC39="Muy alto","Requiere observaciones DPD/jurídico y aprobación de la máxima autoridad",IF(OR(AD39="Muy bajo",AD39="Bajo"),"Aceptable (registrar y monitorear)",IF(AD39="Medio","Tratar en plan anual o aceptación formal","No aceptable: tratamiento prioritario"))))</f>
        <v/>
      </c>
      <c r="AG39" s="8"/>
      <c r="AH39" s="8"/>
    </row>
    <row r="40" spans="1:34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9" t="str">
        <f>IF(R40="","",INDEX(Listas!$B$2:$B$6,MIN(5,MATCH(R40,Listas!$B$2:$B$6,0)+IF(U40="",0,U40))))</f>
        <v/>
      </c>
      <c r="W40" s="9" t="str">
        <f>IF(OR(P40="",V40=""),"",INDEX('Decisión'!$B$4:$F$8,MATCH(P40,'Decisión'!$A$4:$A$8,0),MATCH(V40,'Decisión'!$B$3:$F$3,0)))</f>
        <v/>
      </c>
      <c r="X40" s="8"/>
      <c r="Y40" s="8"/>
      <c r="Z40" s="8"/>
      <c r="AA40" s="8"/>
      <c r="AB40" s="8"/>
      <c r="AC40" s="8"/>
      <c r="AD40" s="9" t="str">
        <f>IF(OR(AB40="",AC40=""),"",INDEX('Decisión'!$B$4:$F$8,MATCH(AB40,'Decisión'!$A$4:$A$8,0),MATCH(AC40,'Decisión'!$B$3:$F$3,0)))</f>
        <v/>
      </c>
      <c r="AE40" s="9" t="str">
        <f>IF(W40="","",IF(OR(W40="Alto",W40="Muy alto"),IF(OR(E40="Sí",G40="Sí"),"Sí (obligatoria)","Valorar"),"Recomendada por defecto"))</f>
        <v/>
      </c>
      <c r="AF40" s="9" t="str">
        <f>IF(AD40="","",IF(AC40="Muy alto","Requiere observaciones DPD/jurídico y aprobación de la máxima autoridad",IF(OR(AD40="Muy bajo",AD40="Bajo"),"Aceptable (registrar y monitorear)",IF(AD40="Medio","Tratar en plan anual o aceptación formal","No aceptable: tratamiento prioritario"))))</f>
        <v/>
      </c>
      <c r="AG40" s="8"/>
      <c r="AH40" s="8"/>
    </row>
    <row r="41" spans="1:34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9" t="str">
        <f>IF(R41="","",INDEX(Listas!$B$2:$B$6,MIN(5,MATCH(R41,Listas!$B$2:$B$6,0)+IF(U41="",0,U41))))</f>
        <v/>
      </c>
      <c r="W41" s="9" t="str">
        <f>IF(OR(P41="",V41=""),"",INDEX('Decisión'!$B$4:$F$8,MATCH(P41,'Decisión'!$A$4:$A$8,0),MATCH(V41,'Decisión'!$B$3:$F$3,0)))</f>
        <v/>
      </c>
      <c r="X41" s="8"/>
      <c r="Y41" s="8"/>
      <c r="Z41" s="8"/>
      <c r="AA41" s="8"/>
      <c r="AB41" s="8"/>
      <c r="AC41" s="8"/>
      <c r="AD41" s="9" t="str">
        <f>IF(OR(AB41="",AC41=""),"",INDEX('Decisión'!$B$4:$F$8,MATCH(AB41,'Decisión'!$A$4:$A$8,0),MATCH(AC41,'Decisión'!$B$3:$F$3,0)))</f>
        <v/>
      </c>
      <c r="AE41" s="9" t="str">
        <f>IF(W41="","",IF(OR(W41="Alto",W41="Muy alto"),IF(OR(E41="Sí",G41="Sí"),"Sí (obligatoria)","Valorar"),"Recomendada por defecto"))</f>
        <v/>
      </c>
      <c r="AF41" s="9" t="str">
        <f>IF(AD41="","",IF(AC41="Muy alto","Requiere observaciones DPD/jurídico y aprobación de la máxima autoridad",IF(OR(AD41="Muy bajo",AD41="Bajo"),"Aceptable (registrar y monitorear)",IF(AD41="Medio","Tratar en plan anual o aceptación formal","No aceptable: tratamiento prioritario"))))</f>
        <v/>
      </c>
      <c r="AG41" s="8"/>
      <c r="AH41" s="8"/>
    </row>
    <row r="42" spans="1:34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9" t="str">
        <f>IF(R42="","",INDEX(Listas!$B$2:$B$6,MIN(5,MATCH(R42,Listas!$B$2:$B$6,0)+IF(U42="",0,U42))))</f>
        <v/>
      </c>
      <c r="W42" s="9" t="str">
        <f>IF(OR(P42="",V42=""),"",INDEX('Decisión'!$B$4:$F$8,MATCH(P42,'Decisión'!$A$4:$A$8,0),MATCH(V42,'Decisión'!$B$3:$F$3,0)))</f>
        <v/>
      </c>
      <c r="X42" s="8"/>
      <c r="Y42" s="8"/>
      <c r="Z42" s="8"/>
      <c r="AA42" s="8"/>
      <c r="AB42" s="8"/>
      <c r="AC42" s="8"/>
      <c r="AD42" s="9" t="str">
        <f>IF(OR(AB42="",AC42=""),"",INDEX('Decisión'!$B$4:$F$8,MATCH(AB42,'Decisión'!$A$4:$A$8,0),MATCH(AC42,'Decisión'!$B$3:$F$3,0)))</f>
        <v/>
      </c>
      <c r="AE42" s="9" t="str">
        <f>IF(W42="","",IF(OR(W42="Alto",W42="Muy alto"),IF(OR(E42="Sí",G42="Sí"),"Sí (obligatoria)","Valorar"),"Recomendada por defecto"))</f>
        <v/>
      </c>
      <c r="AF42" s="9" t="str">
        <f>IF(AD42="","",IF(AC42="Muy alto","Requiere observaciones DPD/jurídico y aprobación de la máxima autoridad",IF(OR(AD42="Muy bajo",AD42="Bajo"),"Aceptable (registrar y monitorear)",IF(AD42="Medio","Tratar en plan anual o aceptación formal","No aceptable: tratamiento prioritario"))))</f>
        <v/>
      </c>
      <c r="AG42" s="8"/>
      <c r="AH42" s="8"/>
    </row>
    <row r="43" spans="1:34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9" t="str">
        <f>IF(R43="","",INDEX(Listas!$B$2:$B$6,MIN(5,MATCH(R43,Listas!$B$2:$B$6,0)+IF(U43="",0,U43))))</f>
        <v/>
      </c>
      <c r="W43" s="9" t="str">
        <f>IF(OR(P43="",V43=""),"",INDEX('Decisión'!$B$4:$F$8,MATCH(P43,'Decisión'!$A$4:$A$8,0),MATCH(V43,'Decisión'!$B$3:$F$3,0)))</f>
        <v/>
      </c>
      <c r="X43" s="8"/>
      <c r="Y43" s="8"/>
      <c r="Z43" s="8"/>
      <c r="AA43" s="8"/>
      <c r="AB43" s="8"/>
      <c r="AC43" s="8"/>
      <c r="AD43" s="9" t="str">
        <f>IF(OR(AB43="",AC43=""),"",INDEX('Decisión'!$B$4:$F$8,MATCH(AB43,'Decisión'!$A$4:$A$8,0),MATCH(AC43,'Decisión'!$B$3:$F$3,0)))</f>
        <v/>
      </c>
      <c r="AE43" s="9" t="str">
        <f>IF(W43="","",IF(OR(W43="Alto",W43="Muy alto"),IF(OR(E43="Sí",G43="Sí"),"Sí (obligatoria)","Valorar"),"Recomendada por defecto"))</f>
        <v/>
      </c>
      <c r="AF43" s="9" t="str">
        <f>IF(AD43="","",IF(AC43="Muy alto","Requiere observaciones DPD/jurídico y aprobación de la máxima autoridad",IF(OR(AD43="Muy bajo",AD43="Bajo"),"Aceptable (registrar y monitorear)",IF(AD43="Medio","Tratar en plan anual o aceptación formal","No aceptable: tratamiento prioritario"))))</f>
        <v/>
      </c>
      <c r="AG43" s="8"/>
      <c r="AH43" s="8"/>
    </row>
    <row r="44" spans="1:34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9" t="str">
        <f>IF(R44="","",INDEX(Listas!$B$2:$B$6,MIN(5,MATCH(R44,Listas!$B$2:$B$6,0)+IF(U44="",0,U44))))</f>
        <v/>
      </c>
      <c r="W44" s="9" t="str">
        <f>IF(OR(P44="",V44=""),"",INDEX('Decisión'!$B$4:$F$8,MATCH(P44,'Decisión'!$A$4:$A$8,0),MATCH(V44,'Decisión'!$B$3:$F$3,0)))</f>
        <v/>
      </c>
      <c r="X44" s="8"/>
      <c r="Y44" s="8"/>
      <c r="Z44" s="8"/>
      <c r="AA44" s="8"/>
      <c r="AB44" s="8"/>
      <c r="AC44" s="8"/>
      <c r="AD44" s="9" t="str">
        <f>IF(OR(AB44="",AC44=""),"",INDEX('Decisión'!$B$4:$F$8,MATCH(AB44,'Decisión'!$A$4:$A$8,0),MATCH(AC44,'Decisión'!$B$3:$F$3,0)))</f>
        <v/>
      </c>
      <c r="AE44" s="9" t="str">
        <f>IF(W44="","",IF(OR(W44="Alto",W44="Muy alto"),IF(OR(E44="Sí",G44="Sí"),"Sí (obligatoria)","Valorar"),"Recomendada por defecto"))</f>
        <v/>
      </c>
      <c r="AF44" s="9" t="str">
        <f>IF(AD44="","",IF(AC44="Muy alto","Requiere observaciones DPD/jurídico y aprobación de la máxima autoridad",IF(OR(AD44="Muy bajo",AD44="Bajo"),"Aceptable (registrar y monitorear)",IF(AD44="Medio","Tratar en plan anual o aceptación formal","No aceptable: tratamiento prioritario"))))</f>
        <v/>
      </c>
      <c r="AG44" s="8"/>
      <c r="AH44" s="8"/>
    </row>
    <row r="45" spans="1:34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9" t="str">
        <f>IF(R45="","",INDEX(Listas!$B$2:$B$6,MIN(5,MATCH(R45,Listas!$B$2:$B$6,0)+IF(U45="",0,U45))))</f>
        <v/>
      </c>
      <c r="W45" s="9" t="str">
        <f>IF(OR(P45="",V45=""),"",INDEX('Decisión'!$B$4:$F$8,MATCH(P45,'Decisión'!$A$4:$A$8,0),MATCH(V45,'Decisión'!$B$3:$F$3,0)))</f>
        <v/>
      </c>
      <c r="X45" s="8"/>
      <c r="Y45" s="8"/>
      <c r="Z45" s="8"/>
      <c r="AA45" s="8"/>
      <c r="AB45" s="8"/>
      <c r="AC45" s="8"/>
      <c r="AD45" s="9" t="str">
        <f>IF(OR(AB45="",AC45=""),"",INDEX('Decisión'!$B$4:$F$8,MATCH(AB45,'Decisión'!$A$4:$A$8,0),MATCH(AC45,'Decisión'!$B$3:$F$3,0)))</f>
        <v/>
      </c>
      <c r="AE45" s="9" t="str">
        <f>IF(W45="","",IF(OR(W45="Alto",W45="Muy alto"),IF(OR(E45="Sí",G45="Sí"),"Sí (obligatoria)","Valorar"),"Recomendada por defecto"))</f>
        <v/>
      </c>
      <c r="AF45" s="9" t="str">
        <f>IF(AD45="","",IF(AC45="Muy alto","Requiere observaciones DPD/jurídico y aprobación de la máxima autoridad",IF(OR(AD45="Muy bajo",AD45="Bajo"),"Aceptable (registrar y monitorear)",IF(AD45="Medio","Tratar en plan anual o aceptación formal","No aceptable: tratamiento prioritario"))))</f>
        <v/>
      </c>
      <c r="AG45" s="8"/>
      <c r="AH45" s="8"/>
    </row>
    <row r="46" spans="1:34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9" t="str">
        <f>IF(R46="","",INDEX(Listas!$B$2:$B$6,MIN(5,MATCH(R46,Listas!$B$2:$B$6,0)+IF(U46="",0,U46))))</f>
        <v/>
      </c>
      <c r="W46" s="9" t="str">
        <f>IF(OR(P46="",V46=""),"",INDEX('Decisión'!$B$4:$F$8,MATCH(P46,'Decisión'!$A$4:$A$8,0),MATCH(V46,'Decisión'!$B$3:$F$3,0)))</f>
        <v/>
      </c>
      <c r="X46" s="8"/>
      <c r="Y46" s="8"/>
      <c r="Z46" s="8"/>
      <c r="AA46" s="8"/>
      <c r="AB46" s="8"/>
      <c r="AC46" s="8"/>
      <c r="AD46" s="9" t="str">
        <f>IF(OR(AB46="",AC46=""),"",INDEX('Decisión'!$B$4:$F$8,MATCH(AB46,'Decisión'!$A$4:$A$8,0),MATCH(AC46,'Decisión'!$B$3:$F$3,0)))</f>
        <v/>
      </c>
      <c r="AE46" s="9" t="str">
        <f>IF(W46="","",IF(OR(W46="Alto",W46="Muy alto"),IF(OR(E46="Sí",G46="Sí"),"Sí (obligatoria)","Valorar"),"Recomendada por defecto"))</f>
        <v/>
      </c>
      <c r="AF46" s="9" t="str">
        <f>IF(AD46="","",IF(AC46="Muy alto","Requiere observaciones DPD/jurídico y aprobación de la máxima autoridad",IF(OR(AD46="Muy bajo",AD46="Bajo"),"Aceptable (registrar y monitorear)",IF(AD46="Medio","Tratar en plan anual o aceptación formal","No aceptable: tratamiento prioritario"))))</f>
        <v/>
      </c>
      <c r="AG46" s="8"/>
      <c r="AH46" s="8"/>
    </row>
    <row r="47" spans="1:34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9" t="str">
        <f>IF(R47="","",INDEX(Listas!$B$2:$B$6,MIN(5,MATCH(R47,Listas!$B$2:$B$6,0)+IF(U47="",0,U47))))</f>
        <v/>
      </c>
      <c r="W47" s="9" t="str">
        <f>IF(OR(P47="",V47=""),"",INDEX('Decisión'!$B$4:$F$8,MATCH(P47,'Decisión'!$A$4:$A$8,0),MATCH(V47,'Decisión'!$B$3:$F$3,0)))</f>
        <v/>
      </c>
      <c r="X47" s="8"/>
      <c r="Y47" s="8"/>
      <c r="Z47" s="8"/>
      <c r="AA47" s="8"/>
      <c r="AB47" s="8"/>
      <c r="AC47" s="8"/>
      <c r="AD47" s="9" t="str">
        <f>IF(OR(AB47="",AC47=""),"",INDEX('Decisión'!$B$4:$F$8,MATCH(AB47,'Decisión'!$A$4:$A$8,0),MATCH(AC47,'Decisión'!$B$3:$F$3,0)))</f>
        <v/>
      </c>
      <c r="AE47" s="9" t="str">
        <f>IF(W47="","",IF(OR(W47="Alto",W47="Muy alto"),IF(OR(E47="Sí",G47="Sí"),"Sí (obligatoria)","Valorar"),"Recomendada por defecto"))</f>
        <v/>
      </c>
      <c r="AF47" s="9" t="str">
        <f>IF(AD47="","",IF(AC47="Muy alto","Requiere observaciones DPD/jurídico y aprobación de la máxima autoridad",IF(OR(AD47="Muy bajo",AD47="Bajo"),"Aceptable (registrar y monitorear)",IF(AD47="Medio","Tratar en plan anual o aceptación formal","No aceptable: tratamiento prioritario"))))</f>
        <v/>
      </c>
      <c r="AG47" s="8"/>
      <c r="AH47" s="8"/>
    </row>
    <row r="48" spans="1:34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9" t="str">
        <f>IF(R48="","",INDEX(Listas!$B$2:$B$6,MIN(5,MATCH(R48,Listas!$B$2:$B$6,0)+IF(U48="",0,U48))))</f>
        <v/>
      </c>
      <c r="W48" s="9" t="str">
        <f>IF(OR(P48="",V48=""),"",INDEX('Decisión'!$B$4:$F$8,MATCH(P48,'Decisión'!$A$4:$A$8,0),MATCH(V48,'Decisión'!$B$3:$F$3,0)))</f>
        <v/>
      </c>
      <c r="X48" s="8"/>
      <c r="Y48" s="8"/>
      <c r="Z48" s="8"/>
      <c r="AA48" s="8"/>
      <c r="AB48" s="8"/>
      <c r="AC48" s="8"/>
      <c r="AD48" s="9" t="str">
        <f>IF(OR(AB48="",AC48=""),"",INDEX('Decisión'!$B$4:$F$8,MATCH(AB48,'Decisión'!$A$4:$A$8,0),MATCH(AC48,'Decisión'!$B$3:$F$3,0)))</f>
        <v/>
      </c>
      <c r="AE48" s="9" t="str">
        <f>IF(W48="","",IF(OR(W48="Alto",W48="Muy alto"),IF(OR(E48="Sí",G48="Sí"),"Sí (obligatoria)","Valorar"),"Recomendada por defecto"))</f>
        <v/>
      </c>
      <c r="AF48" s="9" t="str">
        <f>IF(AD48="","",IF(AC48="Muy alto","Requiere observaciones DPD/jurídico y aprobación de la máxima autoridad",IF(OR(AD48="Muy bajo",AD48="Bajo"),"Aceptable (registrar y monitorear)",IF(AD48="Medio","Tratar en plan anual o aceptación formal","No aceptable: tratamiento prioritario"))))</f>
        <v/>
      </c>
      <c r="AG48" s="8"/>
      <c r="AH48" s="8"/>
    </row>
    <row r="49" spans="1:34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9" t="str">
        <f>IF(R49="","",INDEX(Listas!$B$2:$B$6,MIN(5,MATCH(R49,Listas!$B$2:$B$6,0)+IF(U49="",0,U49))))</f>
        <v/>
      </c>
      <c r="W49" s="9" t="str">
        <f>IF(OR(P49="",V49=""),"",INDEX('Decisión'!$B$4:$F$8,MATCH(P49,'Decisión'!$A$4:$A$8,0),MATCH(V49,'Decisión'!$B$3:$F$3,0)))</f>
        <v/>
      </c>
      <c r="X49" s="8"/>
      <c r="Y49" s="8"/>
      <c r="Z49" s="8"/>
      <c r="AA49" s="8"/>
      <c r="AB49" s="8"/>
      <c r="AC49" s="8"/>
      <c r="AD49" s="9" t="str">
        <f>IF(OR(AB49="",AC49=""),"",INDEX('Decisión'!$B$4:$F$8,MATCH(AB49,'Decisión'!$A$4:$A$8,0),MATCH(AC49,'Decisión'!$B$3:$F$3,0)))</f>
        <v/>
      </c>
      <c r="AE49" s="9" t="str">
        <f>IF(W49="","",IF(OR(W49="Alto",W49="Muy alto"),IF(OR(E49="Sí",G49="Sí"),"Sí (obligatoria)","Valorar"),"Recomendada por defecto"))</f>
        <v/>
      </c>
      <c r="AF49" s="9" t="str">
        <f>IF(AD49="","",IF(AC49="Muy alto","Requiere observaciones DPD/jurídico y aprobación de la máxima autoridad",IF(OR(AD49="Muy bajo",AD49="Bajo"),"Aceptable (registrar y monitorear)",IF(AD49="Medio","Tratar en plan anual o aceptación formal","No aceptable: tratamiento prioritario"))))</f>
        <v/>
      </c>
      <c r="AG49" s="8"/>
      <c r="AH49" s="8"/>
    </row>
    <row r="50" spans="1:34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9" t="str">
        <f>IF(R50="","",INDEX(Listas!$B$2:$B$6,MIN(5,MATCH(R50,Listas!$B$2:$B$6,0)+IF(U50="",0,U50))))</f>
        <v/>
      </c>
      <c r="W50" s="9" t="str">
        <f>IF(OR(P50="",V50=""),"",INDEX('Decisión'!$B$4:$F$8,MATCH(P50,'Decisión'!$A$4:$A$8,0),MATCH(V50,'Decisión'!$B$3:$F$3,0)))</f>
        <v/>
      </c>
      <c r="X50" s="8"/>
      <c r="Y50" s="8"/>
      <c r="Z50" s="8"/>
      <c r="AA50" s="8"/>
      <c r="AB50" s="8"/>
      <c r="AC50" s="8"/>
      <c r="AD50" s="9" t="str">
        <f>IF(OR(AB50="",AC50=""),"",INDEX('Decisión'!$B$4:$F$8,MATCH(AB50,'Decisión'!$A$4:$A$8,0),MATCH(AC50,'Decisión'!$B$3:$F$3,0)))</f>
        <v/>
      </c>
      <c r="AE50" s="9" t="str">
        <f>IF(W50="","",IF(OR(W50="Alto",W50="Muy alto"),IF(OR(E50="Sí",G50="Sí"),"Sí (obligatoria)","Valorar"),"Recomendada por defecto"))</f>
        <v/>
      </c>
      <c r="AF50" s="9" t="str">
        <f>IF(AD50="","",IF(AC50="Muy alto","Requiere observaciones DPD/jurídico y aprobación de la máxima autoridad",IF(OR(AD50="Muy bajo",AD50="Bajo"),"Aceptable (registrar y monitorear)",IF(AD50="Medio","Tratar en plan anual o aceptación formal","No aceptable: tratamiento prioritario"))))</f>
        <v/>
      </c>
      <c r="AG50" s="8"/>
      <c r="AH50" s="8"/>
    </row>
    <row r="51" spans="1:34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9" t="str">
        <f>IF(R51="","",INDEX(Listas!$B$2:$B$6,MIN(5,MATCH(R51,Listas!$B$2:$B$6,0)+IF(U51="",0,U51))))</f>
        <v/>
      </c>
      <c r="W51" s="9" t="str">
        <f>IF(OR(P51="",V51=""),"",INDEX('Decisión'!$B$4:$F$8,MATCH(P51,'Decisión'!$A$4:$A$8,0),MATCH(V51,'Decisión'!$B$3:$F$3,0)))</f>
        <v/>
      </c>
      <c r="X51" s="8"/>
      <c r="Y51" s="8"/>
      <c r="Z51" s="8"/>
      <c r="AA51" s="8"/>
      <c r="AB51" s="8"/>
      <c r="AC51" s="8"/>
      <c r="AD51" s="9" t="str">
        <f>IF(OR(AB51="",AC51=""),"",INDEX('Decisión'!$B$4:$F$8,MATCH(AB51,'Decisión'!$A$4:$A$8,0),MATCH(AC51,'Decisión'!$B$3:$F$3,0)))</f>
        <v/>
      </c>
      <c r="AE51" s="9" t="str">
        <f>IF(W51="","",IF(OR(W51="Alto",W51="Muy alto"),IF(OR(E51="Sí",G51="Sí"),"Sí (obligatoria)","Valorar"),"Recomendada por defecto"))</f>
        <v/>
      </c>
      <c r="AF51" s="9" t="str">
        <f>IF(AD51="","",IF(AC51="Muy alto","Requiere observaciones DPD/jurídico y aprobación de la máxima autoridad",IF(OR(AD51="Muy bajo",AD51="Bajo"),"Aceptable (registrar y monitorear)",IF(AD51="Medio","Tratar en plan anual o aceptación formal","No aceptable: tratamiento prioritario"))))</f>
        <v/>
      </c>
      <c r="AG51" s="8"/>
      <c r="AH51" s="8"/>
    </row>
    <row r="52" spans="1:34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9" t="str">
        <f>IF(R52="","",INDEX(Listas!$B$2:$B$6,MIN(5,MATCH(R52,Listas!$B$2:$B$6,0)+IF(U52="",0,U52))))</f>
        <v/>
      </c>
      <c r="W52" s="9" t="str">
        <f>IF(OR(P52="",V52=""),"",INDEX('Decisión'!$B$4:$F$8,MATCH(P52,'Decisión'!$A$4:$A$8,0),MATCH(V52,'Decisión'!$B$3:$F$3,0)))</f>
        <v/>
      </c>
      <c r="X52" s="8"/>
      <c r="Y52" s="8"/>
      <c r="Z52" s="8"/>
      <c r="AA52" s="8"/>
      <c r="AB52" s="8"/>
      <c r="AC52" s="8"/>
      <c r="AD52" s="9" t="str">
        <f>IF(OR(AB52="",AC52=""),"",INDEX('Decisión'!$B$4:$F$8,MATCH(AB52,'Decisión'!$A$4:$A$8,0),MATCH(AC52,'Decisión'!$B$3:$F$3,0)))</f>
        <v/>
      </c>
      <c r="AE52" s="9" t="str">
        <f>IF(W52="","",IF(OR(W52="Alto",W52="Muy alto"),IF(OR(E52="Sí",G52="Sí"),"Sí (obligatoria)","Valorar"),"Recomendada por defecto"))</f>
        <v/>
      </c>
      <c r="AF52" s="9" t="str">
        <f>IF(AD52="","",IF(AC52="Muy alto","Requiere observaciones DPD/jurídico y aprobación de la máxima autoridad",IF(OR(AD52="Muy bajo",AD52="Bajo"),"Aceptable (registrar y monitorear)",IF(AD52="Medio","Tratar en plan anual o aceptación formal","No aceptable: tratamiento prioritario"))))</f>
        <v/>
      </c>
      <c r="AG52" s="8"/>
      <c r="AH52" s="8"/>
    </row>
    <row r="53" spans="1:34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9" t="str">
        <f>IF(R53="","",INDEX(Listas!$B$2:$B$6,MIN(5,MATCH(R53,Listas!$B$2:$B$6,0)+IF(U53="",0,U53))))</f>
        <v/>
      </c>
      <c r="W53" s="9" t="str">
        <f>IF(OR(P53="",V53=""),"",INDEX('Decisión'!$B$4:$F$8,MATCH(P53,'Decisión'!$A$4:$A$8,0),MATCH(V53,'Decisión'!$B$3:$F$3,0)))</f>
        <v/>
      </c>
      <c r="X53" s="8"/>
      <c r="Y53" s="8"/>
      <c r="Z53" s="8"/>
      <c r="AA53" s="8"/>
      <c r="AB53" s="8"/>
      <c r="AC53" s="8"/>
      <c r="AD53" s="9" t="str">
        <f>IF(OR(AB53="",AC53=""),"",INDEX('Decisión'!$B$4:$F$8,MATCH(AB53,'Decisión'!$A$4:$A$8,0),MATCH(AC53,'Decisión'!$B$3:$F$3,0)))</f>
        <v/>
      </c>
      <c r="AE53" s="9" t="str">
        <f>IF(W53="","",IF(OR(W53="Alto",W53="Muy alto"),IF(OR(E53="Sí",G53="Sí"),"Sí (obligatoria)","Valorar"),"Recomendada por defecto"))</f>
        <v/>
      </c>
      <c r="AF53" s="9" t="str">
        <f>IF(AD53="","",IF(AC53="Muy alto","Requiere observaciones DPD/jurídico y aprobación de la máxima autoridad",IF(OR(AD53="Muy bajo",AD53="Bajo"),"Aceptable (registrar y monitorear)",IF(AD53="Medio","Tratar en plan anual o aceptación formal","No aceptable: tratamiento prioritario"))))</f>
        <v/>
      </c>
      <c r="AG53" s="8"/>
      <c r="AH53" s="8"/>
    </row>
    <row r="54" spans="1:34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9" t="str">
        <f>IF(R54="","",INDEX(Listas!$B$2:$B$6,MIN(5,MATCH(R54,Listas!$B$2:$B$6,0)+IF(U54="",0,U54))))</f>
        <v/>
      </c>
      <c r="W54" s="9" t="str">
        <f>IF(OR(P54="",V54=""),"",INDEX('Decisión'!$B$4:$F$8,MATCH(P54,'Decisión'!$A$4:$A$8,0),MATCH(V54,'Decisión'!$B$3:$F$3,0)))</f>
        <v/>
      </c>
      <c r="X54" s="8"/>
      <c r="Y54" s="8"/>
      <c r="Z54" s="8"/>
      <c r="AA54" s="8"/>
      <c r="AB54" s="8"/>
      <c r="AC54" s="8"/>
      <c r="AD54" s="9" t="str">
        <f>IF(OR(AB54="",AC54=""),"",INDEX('Decisión'!$B$4:$F$8,MATCH(AB54,'Decisión'!$A$4:$A$8,0),MATCH(AC54,'Decisión'!$B$3:$F$3,0)))</f>
        <v/>
      </c>
      <c r="AE54" s="9" t="str">
        <f>IF(W54="","",IF(OR(W54="Alto",W54="Muy alto"),IF(OR(E54="Sí",G54="Sí"),"Sí (obligatoria)","Valorar"),"Recomendada por defecto"))</f>
        <v/>
      </c>
      <c r="AF54" s="9" t="str">
        <f>IF(AD54="","",IF(AC54="Muy alto","Requiere observaciones DPD/jurídico y aprobación de la máxima autoridad",IF(OR(AD54="Muy bajo",AD54="Bajo"),"Aceptable (registrar y monitorear)",IF(AD54="Medio","Tratar en plan anual o aceptación formal","No aceptable: tratamiento prioritario"))))</f>
        <v/>
      </c>
      <c r="AG54" s="8"/>
      <c r="AH54" s="8"/>
    </row>
    <row r="55" spans="1:34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9" t="str">
        <f>IF(R55="","",INDEX(Listas!$B$2:$B$6,MIN(5,MATCH(R55,Listas!$B$2:$B$6,0)+IF(U55="",0,U55))))</f>
        <v/>
      </c>
      <c r="W55" s="9" t="str">
        <f>IF(OR(P55="",V55=""),"",INDEX('Decisión'!$B$4:$F$8,MATCH(P55,'Decisión'!$A$4:$A$8,0),MATCH(V55,'Decisión'!$B$3:$F$3,0)))</f>
        <v/>
      </c>
      <c r="X55" s="8"/>
      <c r="Y55" s="8"/>
      <c r="Z55" s="8"/>
      <c r="AA55" s="8"/>
      <c r="AB55" s="8"/>
      <c r="AC55" s="8"/>
      <c r="AD55" s="9" t="str">
        <f>IF(OR(AB55="",AC55=""),"",INDEX('Decisión'!$B$4:$F$8,MATCH(AB55,'Decisión'!$A$4:$A$8,0),MATCH(AC55,'Decisión'!$B$3:$F$3,0)))</f>
        <v/>
      </c>
      <c r="AE55" s="9" t="str">
        <f>IF(W55="","",IF(OR(W55="Alto",W55="Muy alto"),IF(OR(E55="Sí",G55="Sí"),"Sí (obligatoria)","Valorar"),"Recomendada por defecto"))</f>
        <v/>
      </c>
      <c r="AF55" s="9" t="str">
        <f>IF(AD55="","",IF(AC55="Muy alto","Requiere observaciones DPD/jurídico y aprobación de la máxima autoridad",IF(OR(AD55="Muy bajo",AD55="Bajo"),"Aceptable (registrar y monitorear)",IF(AD55="Medio","Tratar en plan anual o aceptación formal","No aceptable: tratamiento prioritario"))))</f>
        <v/>
      </c>
      <c r="AG55" s="8"/>
      <c r="AH55" s="8"/>
    </row>
    <row r="56" spans="1:34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9" t="str">
        <f>IF(R56="","",INDEX(Listas!$B$2:$B$6,MIN(5,MATCH(R56,Listas!$B$2:$B$6,0)+IF(U56="",0,U56))))</f>
        <v/>
      </c>
      <c r="W56" s="9" t="str">
        <f>IF(OR(P56="",V56=""),"",INDEX('Decisión'!$B$4:$F$8,MATCH(P56,'Decisión'!$A$4:$A$8,0),MATCH(V56,'Decisión'!$B$3:$F$3,0)))</f>
        <v/>
      </c>
      <c r="X56" s="8"/>
      <c r="Y56" s="8"/>
      <c r="Z56" s="8"/>
      <c r="AA56" s="8"/>
      <c r="AB56" s="8"/>
      <c r="AC56" s="8"/>
      <c r="AD56" s="9" t="str">
        <f>IF(OR(AB56="",AC56=""),"",INDEX('Decisión'!$B$4:$F$8,MATCH(AB56,'Decisión'!$A$4:$A$8,0),MATCH(AC56,'Decisión'!$B$3:$F$3,0)))</f>
        <v/>
      </c>
      <c r="AE56" s="9" t="str">
        <f>IF(W56="","",IF(OR(W56="Alto",W56="Muy alto"),IF(OR(E56="Sí",G56="Sí"),"Sí (obligatoria)","Valorar"),"Recomendada por defecto"))</f>
        <v/>
      </c>
      <c r="AF56" s="9" t="str">
        <f>IF(AD56="","",IF(AC56="Muy alto","Requiere observaciones DPD/jurídico y aprobación de la máxima autoridad",IF(OR(AD56="Muy bajo",AD56="Bajo"),"Aceptable (registrar y monitorear)",IF(AD56="Medio","Tratar en plan anual o aceptación formal","No aceptable: tratamiento prioritario"))))</f>
        <v/>
      </c>
      <c r="AG56" s="8"/>
      <c r="AH56" s="8"/>
    </row>
    <row r="57" spans="1:34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9" t="str">
        <f>IF(R57="","",INDEX(Listas!$B$2:$B$6,MIN(5,MATCH(R57,Listas!$B$2:$B$6,0)+IF(U57="",0,U57))))</f>
        <v/>
      </c>
      <c r="W57" s="9" t="str">
        <f>IF(OR(P57="",V57=""),"",INDEX('Decisión'!$B$4:$F$8,MATCH(P57,'Decisión'!$A$4:$A$8,0),MATCH(V57,'Decisión'!$B$3:$F$3,0)))</f>
        <v/>
      </c>
      <c r="X57" s="8"/>
      <c r="Y57" s="8"/>
      <c r="Z57" s="8"/>
      <c r="AA57" s="8"/>
      <c r="AB57" s="8"/>
      <c r="AC57" s="8"/>
      <c r="AD57" s="9" t="str">
        <f>IF(OR(AB57="",AC57=""),"",INDEX('Decisión'!$B$4:$F$8,MATCH(AB57,'Decisión'!$A$4:$A$8,0),MATCH(AC57,'Decisión'!$B$3:$F$3,0)))</f>
        <v/>
      </c>
      <c r="AE57" s="9" t="str">
        <f>IF(W57="","",IF(OR(W57="Alto",W57="Muy alto"),IF(OR(E57="Sí",G57="Sí"),"Sí (obligatoria)","Valorar"),"Recomendada por defecto"))</f>
        <v/>
      </c>
      <c r="AF57" s="9" t="str">
        <f>IF(AD57="","",IF(AC57="Muy alto","Requiere observaciones DPD/jurídico y aprobación de la máxima autoridad",IF(OR(AD57="Muy bajo",AD57="Bajo"),"Aceptable (registrar y monitorear)",IF(AD57="Medio","Tratar en plan anual o aceptación formal","No aceptable: tratamiento prioritario"))))</f>
        <v/>
      </c>
      <c r="AG57" s="8"/>
      <c r="AH57" s="8"/>
    </row>
    <row r="58" spans="1:34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9" t="str">
        <f>IF(R58="","",INDEX(Listas!$B$2:$B$6,MIN(5,MATCH(R58,Listas!$B$2:$B$6,0)+IF(U58="",0,U58))))</f>
        <v/>
      </c>
      <c r="W58" s="9" t="str">
        <f>IF(OR(P58="",V58=""),"",INDEX('Decisión'!$B$4:$F$8,MATCH(P58,'Decisión'!$A$4:$A$8,0),MATCH(V58,'Decisión'!$B$3:$F$3,0)))</f>
        <v/>
      </c>
      <c r="X58" s="8"/>
      <c r="Y58" s="8"/>
      <c r="Z58" s="8"/>
      <c r="AA58" s="8"/>
      <c r="AB58" s="8"/>
      <c r="AC58" s="8"/>
      <c r="AD58" s="9" t="str">
        <f>IF(OR(AB58="",AC58=""),"",INDEX('Decisión'!$B$4:$F$8,MATCH(AB58,'Decisión'!$A$4:$A$8,0),MATCH(AC58,'Decisión'!$B$3:$F$3,0)))</f>
        <v/>
      </c>
      <c r="AE58" s="9" t="str">
        <f>IF(W58="","",IF(OR(W58="Alto",W58="Muy alto"),IF(OR(E58="Sí",G58="Sí"),"Sí (obligatoria)","Valorar"),"Recomendada por defecto"))</f>
        <v/>
      </c>
      <c r="AF58" s="9" t="str">
        <f>IF(AD58="","",IF(AC58="Muy alto","Requiere observaciones DPD/jurídico y aprobación de la máxima autoridad",IF(OR(AD58="Muy bajo",AD58="Bajo"),"Aceptable (registrar y monitorear)",IF(AD58="Medio","Tratar en plan anual o aceptación formal","No aceptable: tratamiento prioritario"))))</f>
        <v/>
      </c>
      <c r="AG58" s="8"/>
      <c r="AH58" s="8"/>
    </row>
    <row r="59" spans="1:34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9" t="str">
        <f>IF(R59="","",INDEX(Listas!$B$2:$B$6,MIN(5,MATCH(R59,Listas!$B$2:$B$6,0)+IF(U59="",0,U59))))</f>
        <v/>
      </c>
      <c r="W59" s="9" t="str">
        <f>IF(OR(P59="",V59=""),"",INDEX('Decisión'!$B$4:$F$8,MATCH(P59,'Decisión'!$A$4:$A$8,0),MATCH(V59,'Decisión'!$B$3:$F$3,0)))</f>
        <v/>
      </c>
      <c r="X59" s="8"/>
      <c r="Y59" s="8"/>
      <c r="Z59" s="8"/>
      <c r="AA59" s="8"/>
      <c r="AB59" s="8"/>
      <c r="AC59" s="8"/>
      <c r="AD59" s="9" t="str">
        <f>IF(OR(AB59="",AC59=""),"",INDEX('Decisión'!$B$4:$F$8,MATCH(AB59,'Decisión'!$A$4:$A$8,0),MATCH(AC59,'Decisión'!$B$3:$F$3,0)))</f>
        <v/>
      </c>
      <c r="AE59" s="9" t="str">
        <f>IF(W59="","",IF(OR(W59="Alto",W59="Muy alto"),IF(OR(E59="Sí",G59="Sí"),"Sí (obligatoria)","Valorar"),"Recomendada por defecto"))</f>
        <v/>
      </c>
      <c r="AF59" s="9" t="str">
        <f>IF(AD59="","",IF(AC59="Muy alto","Requiere observaciones DPD/jurídico y aprobación de la máxima autoridad",IF(OR(AD59="Muy bajo",AD59="Bajo"),"Aceptable (registrar y monitorear)",IF(AD59="Medio","Tratar en plan anual o aceptación formal","No aceptable: tratamiento prioritario"))))</f>
        <v/>
      </c>
      <c r="AG59" s="8"/>
      <c r="AH59" s="8"/>
    </row>
    <row r="60" spans="1:34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9" t="str">
        <f>IF(R60="","",INDEX(Listas!$B$2:$B$6,MIN(5,MATCH(R60,Listas!$B$2:$B$6,0)+IF(U60="",0,U60))))</f>
        <v/>
      </c>
      <c r="W60" s="9" t="str">
        <f>IF(OR(P60="",V60=""),"",INDEX('Decisión'!$B$4:$F$8,MATCH(P60,'Decisión'!$A$4:$A$8,0),MATCH(V60,'Decisión'!$B$3:$F$3,0)))</f>
        <v/>
      </c>
      <c r="X60" s="8"/>
      <c r="Y60" s="8"/>
      <c r="Z60" s="8"/>
      <c r="AA60" s="8"/>
      <c r="AB60" s="8"/>
      <c r="AC60" s="8"/>
      <c r="AD60" s="9" t="str">
        <f>IF(OR(AB60="",AC60=""),"",INDEX('Decisión'!$B$4:$F$8,MATCH(AB60,'Decisión'!$A$4:$A$8,0),MATCH(AC60,'Decisión'!$B$3:$F$3,0)))</f>
        <v/>
      </c>
      <c r="AE60" s="9" t="str">
        <f>IF(W60="","",IF(OR(W60="Alto",W60="Muy alto"),IF(OR(E60="Sí",G60="Sí"),"Sí (obligatoria)","Valorar"),"Recomendada por defecto"))</f>
        <v/>
      </c>
      <c r="AF60" s="9" t="str">
        <f>IF(AD60="","",IF(AC60="Muy alto","Requiere observaciones DPD/jurídico y aprobación de la máxima autoridad",IF(OR(AD60="Muy bajo",AD60="Bajo"),"Aceptable (registrar y monitorear)",IF(AD60="Medio","Tratar en plan anual o aceptación formal","No aceptable: tratamiento prioritario"))))</f>
        <v/>
      </c>
      <c r="AG60" s="8"/>
      <c r="AH60" s="8"/>
    </row>
    <row r="61" spans="1:34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9" t="str">
        <f>IF(R61="","",INDEX(Listas!$B$2:$B$6,MIN(5,MATCH(R61,Listas!$B$2:$B$6,0)+IF(U61="",0,U61))))</f>
        <v/>
      </c>
      <c r="W61" s="9" t="str">
        <f>IF(OR(P61="",V61=""),"",INDEX('Decisión'!$B$4:$F$8,MATCH(P61,'Decisión'!$A$4:$A$8,0),MATCH(V61,'Decisión'!$B$3:$F$3,0)))</f>
        <v/>
      </c>
      <c r="X61" s="8"/>
      <c r="Y61" s="8"/>
      <c r="Z61" s="8"/>
      <c r="AA61" s="8"/>
      <c r="AB61" s="8"/>
      <c r="AC61" s="8"/>
      <c r="AD61" s="9" t="str">
        <f>IF(OR(AB61="",AC61=""),"",INDEX('Decisión'!$B$4:$F$8,MATCH(AB61,'Decisión'!$A$4:$A$8,0),MATCH(AC61,'Decisión'!$B$3:$F$3,0)))</f>
        <v/>
      </c>
      <c r="AE61" s="9" t="str">
        <f>IF(W61="","",IF(OR(W61="Alto",W61="Muy alto"),IF(OR(E61="Sí",G61="Sí"),"Sí (obligatoria)","Valorar"),"Recomendada por defecto"))</f>
        <v/>
      </c>
      <c r="AF61" s="9" t="str">
        <f>IF(AD61="","",IF(AC61="Muy alto","Requiere observaciones DPD/jurídico y aprobación de la máxima autoridad",IF(OR(AD61="Muy bajo",AD61="Bajo"),"Aceptable (registrar y monitorear)",IF(AD61="Medio","Tratar en plan anual o aceptación formal","No aceptable: tratamiento prioritario"))))</f>
        <v/>
      </c>
      <c r="AG61" s="8"/>
      <c r="AH61" s="8"/>
    </row>
    <row r="62" spans="1:34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9" t="str">
        <f>IF(R62="","",INDEX(Listas!$B$2:$B$6,MIN(5,MATCH(R62,Listas!$B$2:$B$6,0)+IF(U62="",0,U62))))</f>
        <v/>
      </c>
      <c r="W62" s="9" t="str">
        <f>IF(OR(P62="",V62=""),"",INDEX('Decisión'!$B$4:$F$8,MATCH(P62,'Decisión'!$A$4:$A$8,0),MATCH(V62,'Decisión'!$B$3:$F$3,0)))</f>
        <v/>
      </c>
      <c r="X62" s="8"/>
      <c r="Y62" s="8"/>
      <c r="Z62" s="8"/>
      <c r="AA62" s="8"/>
      <c r="AB62" s="8"/>
      <c r="AC62" s="8"/>
      <c r="AD62" s="9" t="str">
        <f>IF(OR(AB62="",AC62=""),"",INDEX('Decisión'!$B$4:$F$8,MATCH(AB62,'Decisión'!$A$4:$A$8,0),MATCH(AC62,'Decisión'!$B$3:$F$3,0)))</f>
        <v/>
      </c>
      <c r="AE62" s="9" t="str">
        <f>IF(W62="","",IF(OR(W62="Alto",W62="Muy alto"),IF(OR(E62="Sí",G62="Sí"),"Sí (obligatoria)","Valorar"),"Recomendada por defecto"))</f>
        <v/>
      </c>
      <c r="AF62" s="9" t="str">
        <f>IF(AD62="","",IF(AC62="Muy alto","Requiere observaciones DPD/jurídico y aprobación de la máxima autoridad",IF(OR(AD62="Muy bajo",AD62="Bajo"),"Aceptable (registrar y monitorear)",IF(AD62="Medio","Tratar en plan anual o aceptación formal","No aceptable: tratamiento prioritario"))))</f>
        <v/>
      </c>
      <c r="AG62" s="8"/>
      <c r="AH62" s="8"/>
    </row>
    <row r="63" spans="1:34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9" t="str">
        <f>IF(R63="","",INDEX(Listas!$B$2:$B$6,MIN(5,MATCH(R63,Listas!$B$2:$B$6,0)+IF(U63="",0,U63))))</f>
        <v/>
      </c>
      <c r="W63" s="9" t="str">
        <f>IF(OR(P63="",V63=""),"",INDEX('Decisión'!$B$4:$F$8,MATCH(P63,'Decisión'!$A$4:$A$8,0),MATCH(V63,'Decisión'!$B$3:$F$3,0)))</f>
        <v/>
      </c>
      <c r="X63" s="8"/>
      <c r="Y63" s="8"/>
      <c r="Z63" s="8"/>
      <c r="AA63" s="8"/>
      <c r="AB63" s="8"/>
      <c r="AC63" s="8"/>
      <c r="AD63" s="9" t="str">
        <f>IF(OR(AB63="",AC63=""),"",INDEX('Decisión'!$B$4:$F$8,MATCH(AB63,'Decisión'!$A$4:$A$8,0),MATCH(AC63,'Decisión'!$B$3:$F$3,0)))</f>
        <v/>
      </c>
      <c r="AE63" s="9" t="str">
        <f>IF(W63="","",IF(OR(W63="Alto",W63="Muy alto"),IF(OR(E63="Sí",G63="Sí"),"Sí (obligatoria)","Valorar"),"Recomendada por defecto"))</f>
        <v/>
      </c>
      <c r="AF63" s="9" t="str">
        <f>IF(AD63="","",IF(AC63="Muy alto","Requiere observaciones DPD/jurídico y aprobación de la máxima autoridad",IF(OR(AD63="Muy bajo",AD63="Bajo"),"Aceptable (registrar y monitorear)",IF(AD63="Medio","Tratar en plan anual o aceptación formal","No aceptable: tratamiento prioritario"))))</f>
        <v/>
      </c>
      <c r="AG63" s="8"/>
      <c r="AH63" s="8"/>
    </row>
    <row r="64" spans="1:34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9" t="str">
        <f>IF(R64="","",INDEX(Listas!$B$2:$B$6,MIN(5,MATCH(R64,Listas!$B$2:$B$6,0)+IF(U64="",0,U64))))</f>
        <v/>
      </c>
      <c r="W64" s="9" t="str">
        <f>IF(OR(P64="",V64=""),"",INDEX('Decisión'!$B$4:$F$8,MATCH(P64,'Decisión'!$A$4:$A$8,0),MATCH(V64,'Decisión'!$B$3:$F$3,0)))</f>
        <v/>
      </c>
      <c r="X64" s="8"/>
      <c r="Y64" s="8"/>
      <c r="Z64" s="8"/>
      <c r="AA64" s="8"/>
      <c r="AB64" s="8"/>
      <c r="AC64" s="8"/>
      <c r="AD64" s="9" t="str">
        <f>IF(OR(AB64="",AC64=""),"",INDEX('Decisión'!$B$4:$F$8,MATCH(AB64,'Decisión'!$A$4:$A$8,0),MATCH(AC64,'Decisión'!$B$3:$F$3,0)))</f>
        <v/>
      </c>
      <c r="AE64" s="9" t="str">
        <f>IF(W64="","",IF(OR(W64="Alto",W64="Muy alto"),IF(OR(E64="Sí",G64="Sí"),"Sí (obligatoria)","Valorar"),"Recomendada por defecto"))</f>
        <v/>
      </c>
      <c r="AF64" s="9" t="str">
        <f>IF(AD64="","",IF(AC64="Muy alto","Requiere observaciones DPD/jurídico y aprobación de la máxima autoridad",IF(OR(AD64="Muy bajo",AD64="Bajo"),"Aceptable (registrar y monitorear)",IF(AD64="Medio","Tratar en plan anual o aceptación formal","No aceptable: tratamiento prioritario"))))</f>
        <v/>
      </c>
      <c r="AG64" s="8"/>
      <c r="AH64" s="8"/>
    </row>
    <row r="65" spans="1:34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9" t="str">
        <f>IF(R65="","",INDEX(Listas!$B$2:$B$6,MIN(5,MATCH(R65,Listas!$B$2:$B$6,0)+IF(U65="",0,U65))))</f>
        <v/>
      </c>
      <c r="W65" s="9" t="str">
        <f>IF(OR(P65="",V65=""),"",INDEX('Decisión'!$B$4:$F$8,MATCH(P65,'Decisión'!$A$4:$A$8,0),MATCH(V65,'Decisión'!$B$3:$F$3,0)))</f>
        <v/>
      </c>
      <c r="X65" s="8"/>
      <c r="Y65" s="8"/>
      <c r="Z65" s="8"/>
      <c r="AA65" s="8"/>
      <c r="AB65" s="8"/>
      <c r="AC65" s="8"/>
      <c r="AD65" s="9" t="str">
        <f>IF(OR(AB65="",AC65=""),"",INDEX('Decisión'!$B$4:$F$8,MATCH(AB65,'Decisión'!$A$4:$A$8,0),MATCH(AC65,'Decisión'!$B$3:$F$3,0)))</f>
        <v/>
      </c>
      <c r="AE65" s="9" t="str">
        <f>IF(W65="","",IF(OR(W65="Alto",W65="Muy alto"),IF(OR(E65="Sí",G65="Sí"),"Sí (obligatoria)","Valorar"),"Recomendada por defecto"))</f>
        <v/>
      </c>
      <c r="AF65" s="9" t="str">
        <f>IF(AD65="","",IF(AC65="Muy alto","Requiere observaciones DPD/jurídico y aprobación de la máxima autoridad",IF(OR(AD65="Muy bajo",AD65="Bajo"),"Aceptable (registrar y monitorear)",IF(AD65="Medio","Tratar en plan anual o aceptación formal","No aceptable: tratamiento prioritario"))))</f>
        <v/>
      </c>
      <c r="AG65" s="8"/>
      <c r="AH65" s="8"/>
    </row>
    <row r="66" spans="1:34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9" t="str">
        <f>IF(R66="","",INDEX(Listas!$B$2:$B$6,MIN(5,MATCH(R66,Listas!$B$2:$B$6,0)+IF(U66="",0,U66))))</f>
        <v/>
      </c>
      <c r="W66" s="9" t="str">
        <f>IF(OR(P66="",V66=""),"",INDEX('Decisión'!$B$4:$F$8,MATCH(P66,'Decisión'!$A$4:$A$8,0),MATCH(V66,'Decisión'!$B$3:$F$3,0)))</f>
        <v/>
      </c>
      <c r="X66" s="8"/>
      <c r="Y66" s="8"/>
      <c r="Z66" s="8"/>
      <c r="AA66" s="8"/>
      <c r="AB66" s="8"/>
      <c r="AC66" s="8"/>
      <c r="AD66" s="9" t="str">
        <f>IF(OR(AB66="",AC66=""),"",INDEX('Decisión'!$B$4:$F$8,MATCH(AB66,'Decisión'!$A$4:$A$8,0),MATCH(AC66,'Decisión'!$B$3:$F$3,0)))</f>
        <v/>
      </c>
      <c r="AE66" s="9" t="str">
        <f>IF(W66="","",IF(OR(W66="Alto",W66="Muy alto"),IF(OR(E66="Sí",G66="Sí"),"Sí (obligatoria)","Valorar"),"Recomendada por defecto"))</f>
        <v/>
      </c>
      <c r="AF66" s="9" t="str">
        <f>IF(AD66="","",IF(AC66="Muy alto","Requiere observaciones DPD/jurídico y aprobación de la máxima autoridad",IF(OR(AD66="Muy bajo",AD66="Bajo"),"Aceptable (registrar y monitorear)",IF(AD66="Medio","Tratar en plan anual o aceptación formal","No aceptable: tratamiento prioritario"))))</f>
        <v/>
      </c>
      <c r="AG66" s="8"/>
      <c r="AH66" s="8"/>
    </row>
    <row r="67" spans="1:34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9" t="str">
        <f>IF(R67="","",INDEX(Listas!$B$2:$B$6,MIN(5,MATCH(R67,Listas!$B$2:$B$6,0)+IF(U67="",0,U67))))</f>
        <v/>
      </c>
      <c r="W67" s="9" t="str">
        <f>IF(OR(P67="",V67=""),"",INDEX('Decisión'!$B$4:$F$8,MATCH(P67,'Decisión'!$A$4:$A$8,0),MATCH(V67,'Decisión'!$B$3:$F$3,0)))</f>
        <v/>
      </c>
      <c r="X67" s="8"/>
      <c r="Y67" s="8"/>
      <c r="Z67" s="8"/>
      <c r="AA67" s="8"/>
      <c r="AB67" s="8"/>
      <c r="AC67" s="8"/>
      <c r="AD67" s="9" t="str">
        <f>IF(OR(AB67="",AC67=""),"",INDEX('Decisión'!$B$4:$F$8,MATCH(AB67,'Decisión'!$A$4:$A$8,0),MATCH(AC67,'Decisión'!$B$3:$F$3,0)))</f>
        <v/>
      </c>
      <c r="AE67" s="9" t="str">
        <f>IF(W67="","",IF(OR(W67="Alto",W67="Muy alto"),IF(OR(E67="Sí",G67="Sí"),"Sí (obligatoria)","Valorar"),"Recomendada por defecto"))</f>
        <v/>
      </c>
      <c r="AF67" s="9" t="str">
        <f>IF(AD67="","",IF(AC67="Muy alto","Requiere observaciones DPD/jurídico y aprobación de la máxima autoridad",IF(OR(AD67="Muy bajo",AD67="Bajo"),"Aceptable (registrar y monitorear)",IF(AD67="Medio","Tratar en plan anual o aceptación formal","No aceptable: tratamiento prioritario"))))</f>
        <v/>
      </c>
      <c r="AG67" s="8"/>
      <c r="AH67" s="8"/>
    </row>
    <row r="68" spans="1:34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9" t="str">
        <f>IF(R68="","",INDEX(Listas!$B$2:$B$6,MIN(5,MATCH(R68,Listas!$B$2:$B$6,0)+IF(U68="",0,U68))))</f>
        <v/>
      </c>
      <c r="W68" s="9" t="str">
        <f>IF(OR(P68="",V68=""),"",INDEX('Decisión'!$B$4:$F$8,MATCH(P68,'Decisión'!$A$4:$A$8,0),MATCH(V68,'Decisión'!$B$3:$F$3,0)))</f>
        <v/>
      </c>
      <c r="X68" s="8"/>
      <c r="Y68" s="8"/>
      <c r="Z68" s="8"/>
      <c r="AA68" s="8"/>
      <c r="AB68" s="8"/>
      <c r="AC68" s="8"/>
      <c r="AD68" s="9" t="str">
        <f>IF(OR(AB68="",AC68=""),"",INDEX('Decisión'!$B$4:$F$8,MATCH(AB68,'Decisión'!$A$4:$A$8,0),MATCH(AC68,'Decisión'!$B$3:$F$3,0)))</f>
        <v/>
      </c>
      <c r="AE68" s="9" t="str">
        <f>IF(W68="","",IF(OR(W68="Alto",W68="Muy alto"),IF(OR(E68="Sí",G68="Sí"),"Sí (obligatoria)","Valorar"),"Recomendada por defecto"))</f>
        <v/>
      </c>
      <c r="AF68" s="9" t="str">
        <f>IF(AD68="","",IF(AC68="Muy alto","Requiere observaciones DPD/jurídico y aprobación de la máxima autoridad",IF(OR(AD68="Muy bajo",AD68="Bajo"),"Aceptable (registrar y monitorear)",IF(AD68="Medio","Tratar en plan anual o aceptación formal","No aceptable: tratamiento prioritario"))))</f>
        <v/>
      </c>
      <c r="AG68" s="8"/>
      <c r="AH68" s="8"/>
    </row>
    <row r="69" spans="1:34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9" t="str">
        <f>IF(R69="","",INDEX(Listas!$B$2:$B$6,MIN(5,MATCH(R69,Listas!$B$2:$B$6,0)+IF(U69="",0,U69))))</f>
        <v/>
      </c>
      <c r="W69" s="9" t="str">
        <f>IF(OR(P69="",V69=""),"",INDEX('Decisión'!$B$4:$F$8,MATCH(P69,'Decisión'!$A$4:$A$8,0),MATCH(V69,'Decisión'!$B$3:$F$3,0)))</f>
        <v/>
      </c>
      <c r="X69" s="8"/>
      <c r="Y69" s="8"/>
      <c r="Z69" s="8"/>
      <c r="AA69" s="8"/>
      <c r="AB69" s="8"/>
      <c r="AC69" s="8"/>
      <c r="AD69" s="9" t="str">
        <f>IF(OR(AB69="",AC69=""),"",INDEX('Decisión'!$B$4:$F$8,MATCH(AB69,'Decisión'!$A$4:$A$8,0),MATCH(AC69,'Decisión'!$B$3:$F$3,0)))</f>
        <v/>
      </c>
      <c r="AE69" s="9" t="str">
        <f>IF(W69="","",IF(OR(W69="Alto",W69="Muy alto"),IF(OR(E69="Sí",G69="Sí"),"Sí (obligatoria)","Valorar"),"Recomendada por defecto"))</f>
        <v/>
      </c>
      <c r="AF69" s="9" t="str">
        <f>IF(AD69="","",IF(AC69="Muy alto","Requiere observaciones DPD/jurídico y aprobación de la máxima autoridad",IF(OR(AD69="Muy bajo",AD69="Bajo"),"Aceptable (registrar y monitorear)",IF(AD69="Medio","Tratar en plan anual o aceptación formal","No aceptable: tratamiento prioritario"))))</f>
        <v/>
      </c>
      <c r="AG69" s="8"/>
      <c r="AH69" s="8"/>
    </row>
    <row r="70" spans="1:34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9" t="str">
        <f>IF(R70="","",INDEX(Listas!$B$2:$B$6,MIN(5,MATCH(R70,Listas!$B$2:$B$6,0)+IF(U70="",0,U70))))</f>
        <v/>
      </c>
      <c r="W70" s="9" t="str">
        <f>IF(OR(P70="",V70=""),"",INDEX('Decisión'!$B$4:$F$8,MATCH(P70,'Decisión'!$A$4:$A$8,0),MATCH(V70,'Decisión'!$B$3:$F$3,0)))</f>
        <v/>
      </c>
      <c r="X70" s="8"/>
      <c r="Y70" s="8"/>
      <c r="Z70" s="8"/>
      <c r="AA70" s="8"/>
      <c r="AB70" s="8"/>
      <c r="AC70" s="8"/>
      <c r="AD70" s="9" t="str">
        <f>IF(OR(AB70="",AC70=""),"",INDEX('Decisión'!$B$4:$F$8,MATCH(AB70,'Decisión'!$A$4:$A$8,0),MATCH(AC70,'Decisión'!$B$3:$F$3,0)))</f>
        <v/>
      </c>
      <c r="AE70" s="9" t="str">
        <f>IF(W70="","",IF(OR(W70="Alto",W70="Muy alto"),IF(OR(E70="Sí",G70="Sí"),"Sí (obligatoria)","Valorar"),"Recomendada por defecto"))</f>
        <v/>
      </c>
      <c r="AF70" s="9" t="str">
        <f>IF(AD70="","",IF(AC70="Muy alto","Requiere observaciones DPD/jurídico y aprobación de la máxima autoridad",IF(OR(AD70="Muy bajo",AD70="Bajo"),"Aceptable (registrar y monitorear)",IF(AD70="Medio","Tratar en plan anual o aceptación formal","No aceptable: tratamiento prioritario"))))</f>
        <v/>
      </c>
      <c r="AG70" s="8"/>
      <c r="AH70" s="8"/>
    </row>
    <row r="71" spans="1:34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9" t="str">
        <f>IF(R71="","",INDEX(Listas!$B$2:$B$6,MIN(5,MATCH(R71,Listas!$B$2:$B$6,0)+IF(U71="",0,U71))))</f>
        <v/>
      </c>
      <c r="W71" s="9" t="str">
        <f>IF(OR(P71="",V71=""),"",INDEX('Decisión'!$B$4:$F$8,MATCH(P71,'Decisión'!$A$4:$A$8,0),MATCH(V71,'Decisión'!$B$3:$F$3,0)))</f>
        <v/>
      </c>
      <c r="X71" s="8"/>
      <c r="Y71" s="8"/>
      <c r="Z71" s="8"/>
      <c r="AA71" s="8"/>
      <c r="AB71" s="8"/>
      <c r="AC71" s="8"/>
      <c r="AD71" s="9" t="str">
        <f>IF(OR(AB71="",AC71=""),"",INDEX('Decisión'!$B$4:$F$8,MATCH(AB71,'Decisión'!$A$4:$A$8,0),MATCH(AC71,'Decisión'!$B$3:$F$3,0)))</f>
        <v/>
      </c>
      <c r="AE71" s="9" t="str">
        <f>IF(W71="","",IF(OR(W71="Alto",W71="Muy alto"),IF(OR(E71="Sí",G71="Sí"),"Sí (obligatoria)","Valorar"),"Recomendada por defecto"))</f>
        <v/>
      </c>
      <c r="AF71" s="9" t="str">
        <f>IF(AD71="","",IF(AC71="Muy alto","Requiere observaciones DPD/jurídico y aprobación de la máxima autoridad",IF(OR(AD71="Muy bajo",AD71="Bajo"),"Aceptable (registrar y monitorear)",IF(AD71="Medio","Tratar en plan anual o aceptación formal","No aceptable: tratamiento prioritario"))))</f>
        <v/>
      </c>
      <c r="AG71" s="8"/>
      <c r="AH71" s="8"/>
    </row>
    <row r="72" spans="1:34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9" t="str">
        <f>IF(R72="","",INDEX(Listas!$B$2:$B$6,MIN(5,MATCH(R72,Listas!$B$2:$B$6,0)+IF(U72="",0,U72))))</f>
        <v/>
      </c>
      <c r="W72" s="9" t="str">
        <f>IF(OR(P72="",V72=""),"",INDEX('Decisión'!$B$4:$F$8,MATCH(P72,'Decisión'!$A$4:$A$8,0),MATCH(V72,'Decisión'!$B$3:$F$3,0)))</f>
        <v/>
      </c>
      <c r="X72" s="8"/>
      <c r="Y72" s="8"/>
      <c r="Z72" s="8"/>
      <c r="AA72" s="8"/>
      <c r="AB72" s="8"/>
      <c r="AC72" s="8"/>
      <c r="AD72" s="9" t="str">
        <f>IF(OR(AB72="",AC72=""),"",INDEX('Decisión'!$B$4:$F$8,MATCH(AB72,'Decisión'!$A$4:$A$8,0),MATCH(AC72,'Decisión'!$B$3:$F$3,0)))</f>
        <v/>
      </c>
      <c r="AE72" s="9" t="str">
        <f>IF(W72="","",IF(OR(W72="Alto",W72="Muy alto"),IF(OR(E72="Sí",G72="Sí"),"Sí (obligatoria)","Valorar"),"Recomendada por defecto"))</f>
        <v/>
      </c>
      <c r="AF72" s="9" t="str">
        <f>IF(AD72="","",IF(AC72="Muy alto","Requiere observaciones DPD/jurídico y aprobación de la máxima autoridad",IF(OR(AD72="Muy bajo",AD72="Bajo"),"Aceptable (registrar y monitorear)",IF(AD72="Medio","Tratar en plan anual o aceptación formal","No aceptable: tratamiento prioritario"))))</f>
        <v/>
      </c>
      <c r="AG72" s="8"/>
      <c r="AH72" s="8"/>
    </row>
    <row r="73" spans="1:34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9" t="str">
        <f>IF(R73="","",INDEX(Listas!$B$2:$B$6,MIN(5,MATCH(R73,Listas!$B$2:$B$6,0)+IF(U73="",0,U73))))</f>
        <v/>
      </c>
      <c r="W73" s="9" t="str">
        <f>IF(OR(P73="",V73=""),"",INDEX('Decisión'!$B$4:$F$8,MATCH(P73,'Decisión'!$A$4:$A$8,0),MATCH(V73,'Decisión'!$B$3:$F$3,0)))</f>
        <v/>
      </c>
      <c r="X73" s="8"/>
      <c r="Y73" s="8"/>
      <c r="Z73" s="8"/>
      <c r="AA73" s="8"/>
      <c r="AB73" s="8"/>
      <c r="AC73" s="8"/>
      <c r="AD73" s="9" t="str">
        <f>IF(OR(AB73="",AC73=""),"",INDEX('Decisión'!$B$4:$F$8,MATCH(AB73,'Decisión'!$A$4:$A$8,0),MATCH(AC73,'Decisión'!$B$3:$F$3,0)))</f>
        <v/>
      </c>
      <c r="AE73" s="9" t="str">
        <f>IF(W73="","",IF(OR(W73="Alto",W73="Muy alto"),IF(OR(E73="Sí",G73="Sí"),"Sí (obligatoria)","Valorar"),"Recomendada por defecto"))</f>
        <v/>
      </c>
      <c r="AF73" s="9" t="str">
        <f>IF(AD73="","",IF(AC73="Muy alto","Requiere observaciones DPD/jurídico y aprobación de la máxima autoridad",IF(OR(AD73="Muy bajo",AD73="Bajo"),"Aceptable (registrar y monitorear)",IF(AD73="Medio","Tratar en plan anual o aceptación formal","No aceptable: tratamiento prioritario"))))</f>
        <v/>
      </c>
      <c r="AG73" s="8"/>
      <c r="AH73" s="8"/>
    </row>
    <row r="74" spans="1:34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9" t="str">
        <f>IF(R74="","",INDEX(Listas!$B$2:$B$6,MIN(5,MATCH(R74,Listas!$B$2:$B$6,0)+IF(U74="",0,U74))))</f>
        <v/>
      </c>
      <c r="W74" s="9" t="str">
        <f>IF(OR(P74="",V74=""),"",INDEX('Decisión'!$B$4:$F$8,MATCH(P74,'Decisión'!$A$4:$A$8,0),MATCH(V74,'Decisión'!$B$3:$F$3,0)))</f>
        <v/>
      </c>
      <c r="X74" s="8"/>
      <c r="Y74" s="8"/>
      <c r="Z74" s="8"/>
      <c r="AA74" s="8"/>
      <c r="AB74" s="8"/>
      <c r="AC74" s="8"/>
      <c r="AD74" s="9" t="str">
        <f>IF(OR(AB74="",AC74=""),"",INDEX('Decisión'!$B$4:$F$8,MATCH(AB74,'Decisión'!$A$4:$A$8,0),MATCH(AC74,'Decisión'!$B$3:$F$3,0)))</f>
        <v/>
      </c>
      <c r="AE74" s="9" t="str">
        <f>IF(W74="","",IF(OR(W74="Alto",W74="Muy alto"),IF(OR(E74="Sí",G74="Sí"),"Sí (obligatoria)","Valorar"),"Recomendada por defecto"))</f>
        <v/>
      </c>
      <c r="AF74" s="9" t="str">
        <f>IF(AD74="","",IF(AC74="Muy alto","Requiere observaciones DPD/jurídico y aprobación de la máxima autoridad",IF(OR(AD74="Muy bajo",AD74="Bajo"),"Aceptable (registrar y monitorear)",IF(AD74="Medio","Tratar en plan anual o aceptación formal","No aceptable: tratamiento prioritario"))))</f>
        <v/>
      </c>
      <c r="AG74" s="8"/>
      <c r="AH74" s="8"/>
    </row>
    <row r="75" spans="1:34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9" t="str">
        <f>IF(R75="","",INDEX(Listas!$B$2:$B$6,MIN(5,MATCH(R75,Listas!$B$2:$B$6,0)+IF(U75="",0,U75))))</f>
        <v/>
      </c>
      <c r="W75" s="9" t="str">
        <f>IF(OR(P75="",V75=""),"",INDEX('Decisión'!$B$4:$F$8,MATCH(P75,'Decisión'!$A$4:$A$8,0),MATCH(V75,'Decisión'!$B$3:$F$3,0)))</f>
        <v/>
      </c>
      <c r="X75" s="8"/>
      <c r="Y75" s="8"/>
      <c r="Z75" s="8"/>
      <c r="AA75" s="8"/>
      <c r="AB75" s="8"/>
      <c r="AC75" s="8"/>
      <c r="AD75" s="9" t="str">
        <f>IF(OR(AB75="",AC75=""),"",INDEX('Decisión'!$B$4:$F$8,MATCH(AB75,'Decisión'!$A$4:$A$8,0),MATCH(AC75,'Decisión'!$B$3:$F$3,0)))</f>
        <v/>
      </c>
      <c r="AE75" s="9" t="str">
        <f>IF(W75="","",IF(OR(W75="Alto",W75="Muy alto"),IF(OR(E75="Sí",G75="Sí"),"Sí (obligatoria)","Valorar"),"Recomendada por defecto"))</f>
        <v/>
      </c>
      <c r="AF75" s="9" t="str">
        <f>IF(AD75="","",IF(AC75="Muy alto","Requiere observaciones DPD/jurídico y aprobación de la máxima autoridad",IF(OR(AD75="Muy bajo",AD75="Bajo"),"Aceptable (registrar y monitorear)",IF(AD75="Medio","Tratar en plan anual o aceptación formal","No aceptable: tratamiento prioritario"))))</f>
        <v/>
      </c>
      <c r="AG75" s="8"/>
      <c r="AH75" s="8"/>
    </row>
    <row r="76" spans="1:34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9" t="str">
        <f>IF(R76="","",INDEX(Listas!$B$2:$B$6,MIN(5,MATCH(R76,Listas!$B$2:$B$6,0)+IF(U76="",0,U76))))</f>
        <v/>
      </c>
      <c r="W76" s="9" t="str">
        <f>IF(OR(P76="",V76=""),"",INDEX('Decisión'!$B$4:$F$8,MATCH(P76,'Decisión'!$A$4:$A$8,0),MATCH(V76,'Decisión'!$B$3:$F$3,0)))</f>
        <v/>
      </c>
      <c r="X76" s="8"/>
      <c r="Y76" s="8"/>
      <c r="Z76" s="8"/>
      <c r="AA76" s="8"/>
      <c r="AB76" s="8"/>
      <c r="AC76" s="8"/>
      <c r="AD76" s="9" t="str">
        <f>IF(OR(AB76="",AC76=""),"",INDEX('Decisión'!$B$4:$F$8,MATCH(AB76,'Decisión'!$A$4:$A$8,0),MATCH(AC76,'Decisión'!$B$3:$F$3,0)))</f>
        <v/>
      </c>
      <c r="AE76" s="9" t="str">
        <f>IF(W76="","",IF(OR(W76="Alto",W76="Muy alto"),IF(OR(E76="Sí",G76="Sí"),"Sí (obligatoria)","Valorar"),"Recomendada por defecto"))</f>
        <v/>
      </c>
      <c r="AF76" s="9" t="str">
        <f>IF(AD76="","",IF(AC76="Muy alto","Requiere observaciones DPD/jurídico y aprobación de la máxima autoridad",IF(OR(AD76="Muy bajo",AD76="Bajo"),"Aceptable (registrar y monitorear)",IF(AD76="Medio","Tratar en plan anual o aceptación formal","No aceptable: tratamiento prioritario"))))</f>
        <v/>
      </c>
      <c r="AG76" s="8"/>
      <c r="AH76" s="8"/>
    </row>
    <row r="77" spans="1:34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9" t="str">
        <f>IF(R77="","",INDEX(Listas!$B$2:$B$6,MIN(5,MATCH(R77,Listas!$B$2:$B$6,0)+IF(U77="",0,U77))))</f>
        <v/>
      </c>
      <c r="W77" s="9" t="str">
        <f>IF(OR(P77="",V77=""),"",INDEX('Decisión'!$B$4:$F$8,MATCH(P77,'Decisión'!$A$4:$A$8,0),MATCH(V77,'Decisión'!$B$3:$F$3,0)))</f>
        <v/>
      </c>
      <c r="X77" s="8"/>
      <c r="Y77" s="8"/>
      <c r="Z77" s="8"/>
      <c r="AA77" s="8"/>
      <c r="AB77" s="8"/>
      <c r="AC77" s="8"/>
      <c r="AD77" s="9" t="str">
        <f>IF(OR(AB77="",AC77=""),"",INDEX('Decisión'!$B$4:$F$8,MATCH(AB77,'Decisión'!$A$4:$A$8,0),MATCH(AC77,'Decisión'!$B$3:$F$3,0)))</f>
        <v/>
      </c>
      <c r="AE77" s="9" t="str">
        <f>IF(W77="","",IF(OR(W77="Alto",W77="Muy alto"),IF(OR(E77="Sí",G77="Sí"),"Sí (obligatoria)","Valorar"),"Recomendada por defecto"))</f>
        <v/>
      </c>
      <c r="AF77" s="9" t="str">
        <f>IF(AD77="","",IF(AC77="Muy alto","Requiere observaciones DPD/jurídico y aprobación de la máxima autoridad",IF(OR(AD77="Muy bajo",AD77="Bajo"),"Aceptable (registrar y monitorear)",IF(AD77="Medio","Tratar en plan anual o aceptación formal","No aceptable: tratamiento prioritario"))))</f>
        <v/>
      </c>
      <c r="AG77" s="8"/>
      <c r="AH77" s="8"/>
    </row>
    <row r="78" spans="1:34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9" t="str">
        <f>IF(R78="","",INDEX(Listas!$B$2:$B$6,MIN(5,MATCH(R78,Listas!$B$2:$B$6,0)+IF(U78="",0,U78))))</f>
        <v/>
      </c>
      <c r="W78" s="9" t="str">
        <f>IF(OR(P78="",V78=""),"",INDEX('Decisión'!$B$4:$F$8,MATCH(P78,'Decisión'!$A$4:$A$8,0),MATCH(V78,'Decisión'!$B$3:$F$3,0)))</f>
        <v/>
      </c>
      <c r="X78" s="8"/>
      <c r="Y78" s="8"/>
      <c r="Z78" s="8"/>
      <c r="AA78" s="8"/>
      <c r="AB78" s="8"/>
      <c r="AC78" s="8"/>
      <c r="AD78" s="9" t="str">
        <f>IF(OR(AB78="",AC78=""),"",INDEX('Decisión'!$B$4:$F$8,MATCH(AB78,'Decisión'!$A$4:$A$8,0),MATCH(AC78,'Decisión'!$B$3:$F$3,0)))</f>
        <v/>
      </c>
      <c r="AE78" s="9" t="str">
        <f>IF(W78="","",IF(OR(W78="Alto",W78="Muy alto"),IF(OR(E78="Sí",G78="Sí"),"Sí (obligatoria)","Valorar"),"Recomendada por defecto"))</f>
        <v/>
      </c>
      <c r="AF78" s="9" t="str">
        <f>IF(AD78="","",IF(AC78="Muy alto","Requiere observaciones DPD/jurídico y aprobación de la máxima autoridad",IF(OR(AD78="Muy bajo",AD78="Bajo"),"Aceptable (registrar y monitorear)",IF(AD78="Medio","Tratar en plan anual o aceptación formal","No aceptable: tratamiento prioritario"))))</f>
        <v/>
      </c>
      <c r="AG78" s="8"/>
      <c r="AH78" s="8"/>
    </row>
    <row r="79" spans="1:34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9" t="str">
        <f>IF(R79="","",INDEX(Listas!$B$2:$B$6,MIN(5,MATCH(R79,Listas!$B$2:$B$6,0)+IF(U79="",0,U79))))</f>
        <v/>
      </c>
      <c r="W79" s="9" t="str">
        <f>IF(OR(P79="",V79=""),"",INDEX('Decisión'!$B$4:$F$8,MATCH(P79,'Decisión'!$A$4:$A$8,0),MATCH(V79,'Decisión'!$B$3:$F$3,0)))</f>
        <v/>
      </c>
      <c r="X79" s="8"/>
      <c r="Y79" s="8"/>
      <c r="Z79" s="8"/>
      <c r="AA79" s="8"/>
      <c r="AB79" s="8"/>
      <c r="AC79" s="8"/>
      <c r="AD79" s="9" t="str">
        <f>IF(OR(AB79="",AC79=""),"",INDEX('Decisión'!$B$4:$F$8,MATCH(AB79,'Decisión'!$A$4:$A$8,0),MATCH(AC79,'Decisión'!$B$3:$F$3,0)))</f>
        <v/>
      </c>
      <c r="AE79" s="9" t="str">
        <f>IF(W79="","",IF(OR(W79="Alto",W79="Muy alto"),IF(OR(E79="Sí",G79="Sí"),"Sí (obligatoria)","Valorar"),"Recomendada por defecto"))</f>
        <v/>
      </c>
      <c r="AF79" s="9" t="str">
        <f>IF(AD79="","",IF(AC79="Muy alto","Requiere observaciones DPD/jurídico y aprobación de la máxima autoridad",IF(OR(AD79="Muy bajo",AD79="Bajo"),"Aceptable (registrar y monitorear)",IF(AD79="Medio","Tratar en plan anual o aceptación formal","No aceptable: tratamiento prioritario"))))</f>
        <v/>
      </c>
      <c r="AG79" s="8"/>
      <c r="AH79" s="8"/>
    </row>
    <row r="80" spans="1:34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9" t="str">
        <f>IF(R80="","",INDEX(Listas!$B$2:$B$6,MIN(5,MATCH(R80,Listas!$B$2:$B$6,0)+IF(U80="",0,U80))))</f>
        <v/>
      </c>
      <c r="W80" s="9" t="str">
        <f>IF(OR(P80="",V80=""),"",INDEX('Decisión'!$B$4:$F$8,MATCH(P80,'Decisión'!$A$4:$A$8,0),MATCH(V80,'Decisión'!$B$3:$F$3,0)))</f>
        <v/>
      </c>
      <c r="X80" s="8"/>
      <c r="Y80" s="8"/>
      <c r="Z80" s="8"/>
      <c r="AA80" s="8"/>
      <c r="AB80" s="8"/>
      <c r="AC80" s="8"/>
      <c r="AD80" s="9" t="str">
        <f>IF(OR(AB80="",AC80=""),"",INDEX('Decisión'!$B$4:$F$8,MATCH(AB80,'Decisión'!$A$4:$A$8,0),MATCH(AC80,'Decisión'!$B$3:$F$3,0)))</f>
        <v/>
      </c>
      <c r="AE80" s="9" t="str">
        <f>IF(W80="","",IF(OR(W80="Alto",W80="Muy alto"),IF(OR(E80="Sí",G80="Sí"),"Sí (obligatoria)","Valorar"),"Recomendada por defecto"))</f>
        <v/>
      </c>
      <c r="AF80" s="9" t="str">
        <f>IF(AD80="","",IF(AC80="Muy alto","Requiere observaciones DPD/jurídico y aprobación de la máxima autoridad",IF(OR(AD80="Muy bajo",AD80="Bajo"),"Aceptable (registrar y monitorear)",IF(AD80="Medio","Tratar en plan anual o aceptación formal","No aceptable: tratamiento prioritario"))))</f>
        <v/>
      </c>
      <c r="AG80" s="8"/>
      <c r="AH80" s="8"/>
    </row>
    <row r="81" spans="1:34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9" t="str">
        <f>IF(R81="","",INDEX(Listas!$B$2:$B$6,MIN(5,MATCH(R81,Listas!$B$2:$B$6,0)+IF(U81="",0,U81))))</f>
        <v/>
      </c>
      <c r="W81" s="9" t="str">
        <f>IF(OR(P81="",V81=""),"",INDEX('Decisión'!$B$4:$F$8,MATCH(P81,'Decisión'!$A$4:$A$8,0),MATCH(V81,'Decisión'!$B$3:$F$3,0)))</f>
        <v/>
      </c>
      <c r="X81" s="8"/>
      <c r="Y81" s="8"/>
      <c r="Z81" s="8"/>
      <c r="AA81" s="8"/>
      <c r="AB81" s="8"/>
      <c r="AC81" s="8"/>
      <c r="AD81" s="9" t="str">
        <f>IF(OR(AB81="",AC81=""),"",INDEX('Decisión'!$B$4:$F$8,MATCH(AB81,'Decisión'!$A$4:$A$8,0),MATCH(AC81,'Decisión'!$B$3:$F$3,0)))</f>
        <v/>
      </c>
      <c r="AE81" s="9" t="str">
        <f>IF(W81="","",IF(OR(W81="Alto",W81="Muy alto"),IF(OR(E81="Sí",G81="Sí"),"Sí (obligatoria)","Valorar"),"Recomendada por defecto"))</f>
        <v/>
      </c>
      <c r="AF81" s="9" t="str">
        <f>IF(AD81="","",IF(AC81="Muy alto","Requiere observaciones DPD/jurídico y aprobación de la máxima autoridad",IF(OR(AD81="Muy bajo",AD81="Bajo"),"Aceptable (registrar y monitorear)",IF(AD81="Medio","Tratar en plan anual o aceptación formal","No aceptable: tratamiento prioritario"))))</f>
        <v/>
      </c>
      <c r="AG81" s="8"/>
      <c r="AH81" s="8"/>
    </row>
    <row r="82" spans="1:34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9" t="str">
        <f>IF(R82="","",INDEX(Listas!$B$2:$B$6,MIN(5,MATCH(R82,Listas!$B$2:$B$6,0)+IF(U82="",0,U82))))</f>
        <v/>
      </c>
      <c r="W82" s="9" t="str">
        <f>IF(OR(P82="",V82=""),"",INDEX('Decisión'!$B$4:$F$8,MATCH(P82,'Decisión'!$A$4:$A$8,0),MATCH(V82,'Decisión'!$B$3:$F$3,0)))</f>
        <v/>
      </c>
      <c r="X82" s="8"/>
      <c r="Y82" s="8"/>
      <c r="Z82" s="8"/>
      <c r="AA82" s="8"/>
      <c r="AB82" s="8"/>
      <c r="AC82" s="8"/>
      <c r="AD82" s="9" t="str">
        <f>IF(OR(AB82="",AC82=""),"",INDEX('Decisión'!$B$4:$F$8,MATCH(AB82,'Decisión'!$A$4:$A$8,0),MATCH(AC82,'Decisión'!$B$3:$F$3,0)))</f>
        <v/>
      </c>
      <c r="AE82" s="9" t="str">
        <f>IF(W82="","",IF(OR(W82="Alto",W82="Muy alto"),IF(OR(E82="Sí",G82="Sí"),"Sí (obligatoria)","Valorar"),"Recomendada por defecto"))</f>
        <v/>
      </c>
      <c r="AF82" s="9" t="str">
        <f>IF(AD82="","",IF(AC82="Muy alto","Requiere observaciones DPD/jurídico y aprobación de la máxima autoridad",IF(OR(AD82="Muy bajo",AD82="Bajo"),"Aceptable (registrar y monitorear)",IF(AD82="Medio","Tratar en plan anual o aceptación formal","No aceptable: tratamiento prioritario"))))</f>
        <v/>
      </c>
      <c r="AG82" s="8"/>
      <c r="AH82" s="8"/>
    </row>
    <row r="83" spans="1:34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9" t="str">
        <f>IF(R83="","",INDEX(Listas!$B$2:$B$6,MIN(5,MATCH(R83,Listas!$B$2:$B$6,0)+IF(U83="",0,U83))))</f>
        <v/>
      </c>
      <c r="W83" s="9" t="str">
        <f>IF(OR(P83="",V83=""),"",INDEX('Decisión'!$B$4:$F$8,MATCH(P83,'Decisión'!$A$4:$A$8,0),MATCH(V83,'Decisión'!$B$3:$F$3,0)))</f>
        <v/>
      </c>
      <c r="X83" s="8"/>
      <c r="Y83" s="8"/>
      <c r="Z83" s="8"/>
      <c r="AA83" s="8"/>
      <c r="AB83" s="8"/>
      <c r="AC83" s="8"/>
      <c r="AD83" s="9" t="str">
        <f>IF(OR(AB83="",AC83=""),"",INDEX('Decisión'!$B$4:$F$8,MATCH(AB83,'Decisión'!$A$4:$A$8,0),MATCH(AC83,'Decisión'!$B$3:$F$3,0)))</f>
        <v/>
      </c>
      <c r="AE83" s="9" t="str">
        <f>IF(W83="","",IF(OR(W83="Alto",W83="Muy alto"),IF(OR(E83="Sí",G83="Sí"),"Sí (obligatoria)","Valorar"),"Recomendada por defecto"))</f>
        <v/>
      </c>
      <c r="AF83" s="9" t="str">
        <f>IF(AD83="","",IF(AC83="Muy alto","Requiere observaciones DPD/jurídico y aprobación de la máxima autoridad",IF(OR(AD83="Muy bajo",AD83="Bajo"),"Aceptable (registrar y monitorear)",IF(AD83="Medio","Tratar en plan anual o aceptación formal","No aceptable: tratamiento prioritario"))))</f>
        <v/>
      </c>
      <c r="AG83" s="8"/>
      <c r="AH83" s="8"/>
    </row>
    <row r="84" spans="1:34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9" t="str">
        <f>IF(R84="","",INDEX(Listas!$B$2:$B$6,MIN(5,MATCH(R84,Listas!$B$2:$B$6,0)+IF(U84="",0,U84))))</f>
        <v/>
      </c>
      <c r="W84" s="9" t="str">
        <f>IF(OR(P84="",V84=""),"",INDEX('Decisión'!$B$4:$F$8,MATCH(P84,'Decisión'!$A$4:$A$8,0),MATCH(V84,'Decisión'!$B$3:$F$3,0)))</f>
        <v/>
      </c>
      <c r="X84" s="8"/>
      <c r="Y84" s="8"/>
      <c r="Z84" s="8"/>
      <c r="AA84" s="8"/>
      <c r="AB84" s="8"/>
      <c r="AC84" s="8"/>
      <c r="AD84" s="9" t="str">
        <f>IF(OR(AB84="",AC84=""),"",INDEX('Decisión'!$B$4:$F$8,MATCH(AB84,'Decisión'!$A$4:$A$8,0),MATCH(AC84,'Decisión'!$B$3:$F$3,0)))</f>
        <v/>
      </c>
      <c r="AE84" s="9" t="str">
        <f>IF(W84="","",IF(OR(W84="Alto",W84="Muy alto"),IF(OR(E84="Sí",G84="Sí"),"Sí (obligatoria)","Valorar"),"Recomendada por defecto"))</f>
        <v/>
      </c>
      <c r="AF84" s="9" t="str">
        <f>IF(AD84="","",IF(AC84="Muy alto","Requiere observaciones DPD/jurídico y aprobación de la máxima autoridad",IF(OR(AD84="Muy bajo",AD84="Bajo"),"Aceptable (registrar y monitorear)",IF(AD84="Medio","Tratar en plan anual o aceptación formal","No aceptable: tratamiento prioritario"))))</f>
        <v/>
      </c>
      <c r="AG84" s="8"/>
      <c r="AH84" s="8"/>
    </row>
    <row r="85" spans="1:34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9" t="str">
        <f>IF(R85="","",INDEX(Listas!$B$2:$B$6,MIN(5,MATCH(R85,Listas!$B$2:$B$6,0)+IF(U85="",0,U85))))</f>
        <v/>
      </c>
      <c r="W85" s="9" t="str">
        <f>IF(OR(P85="",V85=""),"",INDEX('Decisión'!$B$4:$F$8,MATCH(P85,'Decisión'!$A$4:$A$8,0),MATCH(V85,'Decisión'!$B$3:$F$3,0)))</f>
        <v/>
      </c>
      <c r="X85" s="8"/>
      <c r="Y85" s="8"/>
      <c r="Z85" s="8"/>
      <c r="AA85" s="8"/>
      <c r="AB85" s="8"/>
      <c r="AC85" s="8"/>
      <c r="AD85" s="9" t="str">
        <f>IF(OR(AB85="",AC85=""),"",INDEX('Decisión'!$B$4:$F$8,MATCH(AB85,'Decisión'!$A$4:$A$8,0),MATCH(AC85,'Decisión'!$B$3:$F$3,0)))</f>
        <v/>
      </c>
      <c r="AE85" s="9" t="str">
        <f>IF(W85="","",IF(OR(W85="Alto",W85="Muy alto"),IF(OR(E85="Sí",G85="Sí"),"Sí (obligatoria)","Valorar"),"Recomendada por defecto"))</f>
        <v/>
      </c>
      <c r="AF85" s="9" t="str">
        <f>IF(AD85="","",IF(AC85="Muy alto","Requiere observaciones DPD/jurídico y aprobación de la máxima autoridad",IF(OR(AD85="Muy bajo",AD85="Bajo"),"Aceptable (registrar y monitorear)",IF(AD85="Medio","Tratar en plan anual o aceptación formal","No aceptable: tratamiento prioritario"))))</f>
        <v/>
      </c>
      <c r="AG85" s="8"/>
      <c r="AH85" s="8"/>
    </row>
    <row r="86" spans="1:34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9" t="str">
        <f>IF(R86="","",INDEX(Listas!$B$2:$B$6,MIN(5,MATCH(R86,Listas!$B$2:$B$6,0)+IF(U86="",0,U86))))</f>
        <v/>
      </c>
      <c r="W86" s="9" t="str">
        <f>IF(OR(P86="",V86=""),"",INDEX('Decisión'!$B$4:$F$8,MATCH(P86,'Decisión'!$A$4:$A$8,0),MATCH(V86,'Decisión'!$B$3:$F$3,0)))</f>
        <v/>
      </c>
      <c r="X86" s="8"/>
      <c r="Y86" s="8"/>
      <c r="Z86" s="8"/>
      <c r="AA86" s="8"/>
      <c r="AB86" s="8"/>
      <c r="AC86" s="8"/>
      <c r="AD86" s="9" t="str">
        <f>IF(OR(AB86="",AC86=""),"",INDEX('Decisión'!$B$4:$F$8,MATCH(AB86,'Decisión'!$A$4:$A$8,0),MATCH(AC86,'Decisión'!$B$3:$F$3,0)))</f>
        <v/>
      </c>
      <c r="AE86" s="9" t="str">
        <f>IF(W86="","",IF(OR(W86="Alto",W86="Muy alto"),IF(OR(E86="Sí",G86="Sí"),"Sí (obligatoria)","Valorar"),"Recomendada por defecto"))</f>
        <v/>
      </c>
      <c r="AF86" s="9" t="str">
        <f>IF(AD86="","",IF(AC86="Muy alto","Requiere observaciones DPD/jurídico y aprobación de la máxima autoridad",IF(OR(AD86="Muy bajo",AD86="Bajo"),"Aceptable (registrar y monitorear)",IF(AD86="Medio","Tratar en plan anual o aceptación formal","No aceptable: tratamiento prioritario"))))</f>
        <v/>
      </c>
      <c r="AG86" s="8"/>
      <c r="AH86" s="8"/>
    </row>
    <row r="87" spans="1:34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9" t="str">
        <f>IF(R87="","",INDEX(Listas!$B$2:$B$6,MIN(5,MATCH(R87,Listas!$B$2:$B$6,0)+IF(U87="",0,U87))))</f>
        <v/>
      </c>
      <c r="W87" s="9" t="str">
        <f>IF(OR(P87="",V87=""),"",INDEX('Decisión'!$B$4:$F$8,MATCH(P87,'Decisión'!$A$4:$A$8,0),MATCH(V87,'Decisión'!$B$3:$F$3,0)))</f>
        <v/>
      </c>
      <c r="X87" s="8"/>
      <c r="Y87" s="8"/>
      <c r="Z87" s="8"/>
      <c r="AA87" s="8"/>
      <c r="AB87" s="8"/>
      <c r="AC87" s="8"/>
      <c r="AD87" s="9" t="str">
        <f>IF(OR(AB87="",AC87=""),"",INDEX('Decisión'!$B$4:$F$8,MATCH(AB87,'Decisión'!$A$4:$A$8,0),MATCH(AC87,'Decisión'!$B$3:$F$3,0)))</f>
        <v/>
      </c>
      <c r="AE87" s="9" t="str">
        <f>IF(W87="","",IF(OR(W87="Alto",W87="Muy alto"),IF(OR(E87="Sí",G87="Sí"),"Sí (obligatoria)","Valorar"),"Recomendada por defecto"))</f>
        <v/>
      </c>
      <c r="AF87" s="9" t="str">
        <f>IF(AD87="","",IF(AC87="Muy alto","Requiere observaciones DPD/jurídico y aprobación de la máxima autoridad",IF(OR(AD87="Muy bajo",AD87="Bajo"),"Aceptable (registrar y monitorear)",IF(AD87="Medio","Tratar en plan anual o aceptación formal","No aceptable: tratamiento prioritario"))))</f>
        <v/>
      </c>
      <c r="AG87" s="8"/>
      <c r="AH87" s="8"/>
    </row>
    <row r="88" spans="1:34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9" t="str">
        <f>IF(R88="","",INDEX(Listas!$B$2:$B$6,MIN(5,MATCH(R88,Listas!$B$2:$B$6,0)+IF(U88="",0,U88))))</f>
        <v/>
      </c>
      <c r="W88" s="9" t="str">
        <f>IF(OR(P88="",V88=""),"",INDEX('Decisión'!$B$4:$F$8,MATCH(P88,'Decisión'!$A$4:$A$8,0),MATCH(V88,'Decisión'!$B$3:$F$3,0)))</f>
        <v/>
      </c>
      <c r="X88" s="8"/>
      <c r="Y88" s="8"/>
      <c r="Z88" s="8"/>
      <c r="AA88" s="8"/>
      <c r="AB88" s="8"/>
      <c r="AC88" s="8"/>
      <c r="AD88" s="9" t="str">
        <f>IF(OR(AB88="",AC88=""),"",INDEX('Decisión'!$B$4:$F$8,MATCH(AB88,'Decisión'!$A$4:$A$8,0),MATCH(AC88,'Decisión'!$B$3:$F$3,0)))</f>
        <v/>
      </c>
      <c r="AE88" s="9" t="str">
        <f>IF(W88="","",IF(OR(W88="Alto",W88="Muy alto"),IF(OR(E88="Sí",G88="Sí"),"Sí (obligatoria)","Valorar"),"Recomendada por defecto"))</f>
        <v/>
      </c>
      <c r="AF88" s="9" t="str">
        <f>IF(AD88="","",IF(AC88="Muy alto","Requiere observaciones DPD/jurídico y aprobación de la máxima autoridad",IF(OR(AD88="Muy bajo",AD88="Bajo"),"Aceptable (registrar y monitorear)",IF(AD88="Medio","Tratar en plan anual o aceptación formal","No aceptable: tratamiento prioritario"))))</f>
        <v/>
      </c>
      <c r="AG88" s="8"/>
      <c r="AH88" s="8"/>
    </row>
    <row r="89" spans="1:34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9" t="str">
        <f>IF(R89="","",INDEX(Listas!$B$2:$B$6,MIN(5,MATCH(R89,Listas!$B$2:$B$6,0)+IF(U89="",0,U89))))</f>
        <v/>
      </c>
      <c r="W89" s="9" t="str">
        <f>IF(OR(P89="",V89=""),"",INDEX('Decisión'!$B$4:$F$8,MATCH(P89,'Decisión'!$A$4:$A$8,0),MATCH(V89,'Decisión'!$B$3:$F$3,0)))</f>
        <v/>
      </c>
      <c r="X89" s="8"/>
      <c r="Y89" s="8"/>
      <c r="Z89" s="8"/>
      <c r="AA89" s="8"/>
      <c r="AB89" s="8"/>
      <c r="AC89" s="8"/>
      <c r="AD89" s="9" t="str">
        <f>IF(OR(AB89="",AC89=""),"",INDEX('Decisión'!$B$4:$F$8,MATCH(AB89,'Decisión'!$A$4:$A$8,0),MATCH(AC89,'Decisión'!$B$3:$F$3,0)))</f>
        <v/>
      </c>
      <c r="AE89" s="9" t="str">
        <f>IF(W89="","",IF(OR(W89="Alto",W89="Muy alto"),IF(OR(E89="Sí",G89="Sí"),"Sí (obligatoria)","Valorar"),"Recomendada por defecto"))</f>
        <v/>
      </c>
      <c r="AF89" s="9" t="str">
        <f>IF(AD89="","",IF(AC89="Muy alto","Requiere observaciones DPD/jurídico y aprobación de la máxima autoridad",IF(OR(AD89="Muy bajo",AD89="Bajo"),"Aceptable (registrar y monitorear)",IF(AD89="Medio","Tratar en plan anual o aceptación formal","No aceptable: tratamiento prioritario"))))</f>
        <v/>
      </c>
      <c r="AG89" s="8"/>
      <c r="AH89" s="8"/>
    </row>
    <row r="90" spans="1:34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9" t="str">
        <f>IF(R90="","",INDEX(Listas!$B$2:$B$6,MIN(5,MATCH(R90,Listas!$B$2:$B$6,0)+IF(U90="",0,U90))))</f>
        <v/>
      </c>
      <c r="W90" s="9" t="str">
        <f>IF(OR(P90="",V90=""),"",INDEX('Decisión'!$B$4:$F$8,MATCH(P90,'Decisión'!$A$4:$A$8,0),MATCH(V90,'Decisión'!$B$3:$F$3,0)))</f>
        <v/>
      </c>
      <c r="X90" s="8"/>
      <c r="Y90" s="8"/>
      <c r="Z90" s="8"/>
      <c r="AA90" s="8"/>
      <c r="AB90" s="8"/>
      <c r="AC90" s="8"/>
      <c r="AD90" s="9" t="str">
        <f>IF(OR(AB90="",AC90=""),"",INDEX('Decisión'!$B$4:$F$8,MATCH(AB90,'Decisión'!$A$4:$A$8,0),MATCH(AC90,'Decisión'!$B$3:$F$3,0)))</f>
        <v/>
      </c>
      <c r="AE90" s="9" t="str">
        <f>IF(W90="","",IF(OR(W90="Alto",W90="Muy alto"),IF(OR(E90="Sí",G90="Sí"),"Sí (obligatoria)","Valorar"),"Recomendada por defecto"))</f>
        <v/>
      </c>
      <c r="AF90" s="9" t="str">
        <f>IF(AD90="","",IF(AC90="Muy alto","Requiere observaciones DPD/jurídico y aprobación de la máxima autoridad",IF(OR(AD90="Muy bajo",AD90="Bajo"),"Aceptable (registrar y monitorear)",IF(AD90="Medio","Tratar en plan anual o aceptación formal","No aceptable: tratamiento prioritario"))))</f>
        <v/>
      </c>
      <c r="AG90" s="8"/>
      <c r="AH90" s="8"/>
    </row>
    <row r="91" spans="1:34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9" t="str">
        <f>IF(R91="","",INDEX(Listas!$B$2:$B$6,MIN(5,MATCH(R91,Listas!$B$2:$B$6,0)+IF(U91="",0,U91))))</f>
        <v/>
      </c>
      <c r="W91" s="9" t="str">
        <f>IF(OR(P91="",V91=""),"",INDEX('Decisión'!$B$4:$F$8,MATCH(P91,'Decisión'!$A$4:$A$8,0),MATCH(V91,'Decisión'!$B$3:$F$3,0)))</f>
        <v/>
      </c>
      <c r="X91" s="8"/>
      <c r="Y91" s="8"/>
      <c r="Z91" s="8"/>
      <c r="AA91" s="8"/>
      <c r="AB91" s="8"/>
      <c r="AC91" s="8"/>
      <c r="AD91" s="9" t="str">
        <f>IF(OR(AB91="",AC91=""),"",INDEX('Decisión'!$B$4:$F$8,MATCH(AB91,'Decisión'!$A$4:$A$8,0),MATCH(AC91,'Decisión'!$B$3:$F$3,0)))</f>
        <v/>
      </c>
      <c r="AE91" s="9" t="str">
        <f>IF(W91="","",IF(OR(W91="Alto",W91="Muy alto"),IF(OR(E91="Sí",G91="Sí"),"Sí (obligatoria)","Valorar"),"Recomendada por defecto"))</f>
        <v/>
      </c>
      <c r="AF91" s="9" t="str">
        <f>IF(AD91="","",IF(AC91="Muy alto","Requiere observaciones DPD/jurídico y aprobación de la máxima autoridad",IF(OR(AD91="Muy bajo",AD91="Bajo"),"Aceptable (registrar y monitorear)",IF(AD91="Medio","Tratar en plan anual o aceptación formal","No aceptable: tratamiento prioritario"))))</f>
        <v/>
      </c>
      <c r="AG91" s="8"/>
      <c r="AH91" s="8"/>
    </row>
    <row r="92" spans="1:34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9" t="str">
        <f>IF(R92="","",INDEX(Listas!$B$2:$B$6,MIN(5,MATCH(R92,Listas!$B$2:$B$6,0)+IF(U92="",0,U92))))</f>
        <v/>
      </c>
      <c r="W92" s="9" t="str">
        <f>IF(OR(P92="",V92=""),"",INDEX('Decisión'!$B$4:$F$8,MATCH(P92,'Decisión'!$A$4:$A$8,0),MATCH(V92,'Decisión'!$B$3:$F$3,0)))</f>
        <v/>
      </c>
      <c r="X92" s="8"/>
      <c r="Y92" s="8"/>
      <c r="Z92" s="8"/>
      <c r="AA92" s="8"/>
      <c r="AB92" s="8"/>
      <c r="AC92" s="8"/>
      <c r="AD92" s="9" t="str">
        <f>IF(OR(AB92="",AC92=""),"",INDEX('Decisión'!$B$4:$F$8,MATCH(AB92,'Decisión'!$A$4:$A$8,0),MATCH(AC92,'Decisión'!$B$3:$F$3,0)))</f>
        <v/>
      </c>
      <c r="AE92" s="9" t="str">
        <f>IF(W92="","",IF(OR(W92="Alto",W92="Muy alto"),IF(OR(E92="Sí",G92="Sí"),"Sí (obligatoria)","Valorar"),"Recomendada por defecto"))</f>
        <v/>
      </c>
      <c r="AF92" s="9" t="str">
        <f>IF(AD92="","",IF(AC92="Muy alto","Requiere observaciones DPD/jurídico y aprobación de la máxima autoridad",IF(OR(AD92="Muy bajo",AD92="Bajo"),"Aceptable (registrar y monitorear)",IF(AD92="Medio","Tratar en plan anual o aceptación formal","No aceptable: tratamiento prioritario"))))</f>
        <v/>
      </c>
      <c r="AG92" s="8"/>
      <c r="AH92" s="8"/>
    </row>
    <row r="93" spans="1:34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9" t="str">
        <f>IF(R93="","",INDEX(Listas!$B$2:$B$6,MIN(5,MATCH(R93,Listas!$B$2:$B$6,0)+IF(U93="",0,U93))))</f>
        <v/>
      </c>
      <c r="W93" s="9" t="str">
        <f>IF(OR(P93="",V93=""),"",INDEX('Decisión'!$B$4:$F$8,MATCH(P93,'Decisión'!$A$4:$A$8,0),MATCH(V93,'Decisión'!$B$3:$F$3,0)))</f>
        <v/>
      </c>
      <c r="X93" s="8"/>
      <c r="Y93" s="8"/>
      <c r="Z93" s="8"/>
      <c r="AA93" s="8"/>
      <c r="AB93" s="8"/>
      <c r="AC93" s="8"/>
      <c r="AD93" s="9" t="str">
        <f>IF(OR(AB93="",AC93=""),"",INDEX('Decisión'!$B$4:$F$8,MATCH(AB93,'Decisión'!$A$4:$A$8,0),MATCH(AC93,'Decisión'!$B$3:$F$3,0)))</f>
        <v/>
      </c>
      <c r="AE93" s="9" t="str">
        <f>IF(W93="","",IF(OR(W93="Alto",W93="Muy alto"),IF(OR(E93="Sí",G93="Sí"),"Sí (obligatoria)","Valorar"),"Recomendada por defecto"))</f>
        <v/>
      </c>
      <c r="AF93" s="9" t="str">
        <f>IF(AD93="","",IF(AC93="Muy alto","Requiere observaciones DPD/jurídico y aprobación de la máxima autoridad",IF(OR(AD93="Muy bajo",AD93="Bajo"),"Aceptable (registrar y monitorear)",IF(AD93="Medio","Tratar en plan anual o aceptación formal","No aceptable: tratamiento prioritario"))))</f>
        <v/>
      </c>
      <c r="AG93" s="8"/>
      <c r="AH93" s="8"/>
    </row>
    <row r="94" spans="1:34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9" t="str">
        <f>IF(R94="","",INDEX(Listas!$B$2:$B$6,MIN(5,MATCH(R94,Listas!$B$2:$B$6,0)+IF(U94="",0,U94))))</f>
        <v/>
      </c>
      <c r="W94" s="9" t="str">
        <f>IF(OR(P94="",V94=""),"",INDEX('Decisión'!$B$4:$F$8,MATCH(P94,'Decisión'!$A$4:$A$8,0),MATCH(V94,'Decisión'!$B$3:$F$3,0)))</f>
        <v/>
      </c>
      <c r="X94" s="8"/>
      <c r="Y94" s="8"/>
      <c r="Z94" s="8"/>
      <c r="AA94" s="8"/>
      <c r="AB94" s="8"/>
      <c r="AC94" s="8"/>
      <c r="AD94" s="9" t="str">
        <f>IF(OR(AB94="",AC94=""),"",INDEX('Decisión'!$B$4:$F$8,MATCH(AB94,'Decisión'!$A$4:$A$8,0),MATCH(AC94,'Decisión'!$B$3:$F$3,0)))</f>
        <v/>
      </c>
      <c r="AE94" s="9" t="str">
        <f>IF(W94="","",IF(OR(W94="Alto",W94="Muy alto"),IF(OR(E94="Sí",G94="Sí"),"Sí (obligatoria)","Valorar"),"Recomendada por defecto"))</f>
        <v/>
      </c>
      <c r="AF94" s="9" t="str">
        <f>IF(AD94="","",IF(AC94="Muy alto","Requiere observaciones DPD/jurídico y aprobación de la máxima autoridad",IF(OR(AD94="Muy bajo",AD94="Bajo"),"Aceptable (registrar y monitorear)",IF(AD94="Medio","Tratar en plan anual o aceptación formal","No aceptable: tratamiento prioritario"))))</f>
        <v/>
      </c>
      <c r="AG94" s="8"/>
      <c r="AH94" s="8"/>
    </row>
    <row r="95" spans="1:34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9" t="str">
        <f>IF(R95="","",INDEX(Listas!$B$2:$B$6,MIN(5,MATCH(R95,Listas!$B$2:$B$6,0)+IF(U95="",0,U95))))</f>
        <v/>
      </c>
      <c r="W95" s="9" t="str">
        <f>IF(OR(P95="",V95=""),"",INDEX('Decisión'!$B$4:$F$8,MATCH(P95,'Decisión'!$A$4:$A$8,0),MATCH(V95,'Decisión'!$B$3:$F$3,0)))</f>
        <v/>
      </c>
      <c r="X95" s="8"/>
      <c r="Y95" s="8"/>
      <c r="Z95" s="8"/>
      <c r="AA95" s="8"/>
      <c r="AB95" s="8"/>
      <c r="AC95" s="8"/>
      <c r="AD95" s="9" t="str">
        <f>IF(OR(AB95="",AC95=""),"",INDEX('Decisión'!$B$4:$F$8,MATCH(AB95,'Decisión'!$A$4:$A$8,0),MATCH(AC95,'Decisión'!$B$3:$F$3,0)))</f>
        <v/>
      </c>
      <c r="AE95" s="9" t="str">
        <f>IF(W95="","",IF(OR(W95="Alto",W95="Muy alto"),IF(OR(E95="Sí",G95="Sí"),"Sí (obligatoria)","Valorar"),"Recomendada por defecto"))</f>
        <v/>
      </c>
      <c r="AF95" s="9" t="str">
        <f>IF(AD95="","",IF(AC95="Muy alto","Requiere observaciones DPD/jurídico y aprobación de la máxima autoridad",IF(OR(AD95="Muy bajo",AD95="Bajo"),"Aceptable (registrar y monitorear)",IF(AD95="Medio","Tratar en plan anual o aceptación formal","No aceptable: tratamiento prioritario"))))</f>
        <v/>
      </c>
      <c r="AG95" s="8"/>
      <c r="AH95" s="8"/>
    </row>
    <row r="96" spans="1:34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9" t="str">
        <f>IF(R96="","",INDEX(Listas!$B$2:$B$6,MIN(5,MATCH(R96,Listas!$B$2:$B$6,0)+IF(U96="",0,U96))))</f>
        <v/>
      </c>
      <c r="W96" s="9" t="str">
        <f>IF(OR(P96="",V96=""),"",INDEX('Decisión'!$B$4:$F$8,MATCH(P96,'Decisión'!$A$4:$A$8,0),MATCH(V96,'Decisión'!$B$3:$F$3,0)))</f>
        <v/>
      </c>
      <c r="X96" s="8"/>
      <c r="Y96" s="8"/>
      <c r="Z96" s="8"/>
      <c r="AA96" s="8"/>
      <c r="AB96" s="8"/>
      <c r="AC96" s="8"/>
      <c r="AD96" s="9" t="str">
        <f>IF(OR(AB96="",AC96=""),"",INDEX('Decisión'!$B$4:$F$8,MATCH(AB96,'Decisión'!$A$4:$A$8,0),MATCH(AC96,'Decisión'!$B$3:$F$3,0)))</f>
        <v/>
      </c>
      <c r="AE96" s="9" t="str">
        <f>IF(W96="","",IF(OR(W96="Alto",W96="Muy alto"),IF(OR(E96="Sí",G96="Sí"),"Sí (obligatoria)","Valorar"),"Recomendada por defecto"))</f>
        <v/>
      </c>
      <c r="AF96" s="9" t="str">
        <f>IF(AD96="","",IF(AC96="Muy alto","Requiere observaciones DPD/jurídico y aprobación de la máxima autoridad",IF(OR(AD96="Muy bajo",AD96="Bajo"),"Aceptable (registrar y monitorear)",IF(AD96="Medio","Tratar en plan anual o aceptación formal","No aceptable: tratamiento prioritario"))))</f>
        <v/>
      </c>
      <c r="AG96" s="8"/>
      <c r="AH96" s="8"/>
    </row>
    <row r="97" spans="1:34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9" t="str">
        <f>IF(R97="","",INDEX(Listas!$B$2:$B$6,MIN(5,MATCH(R97,Listas!$B$2:$B$6,0)+IF(U97="",0,U97))))</f>
        <v/>
      </c>
      <c r="W97" s="9" t="str">
        <f>IF(OR(P97="",V97=""),"",INDEX('Decisión'!$B$4:$F$8,MATCH(P97,'Decisión'!$A$4:$A$8,0),MATCH(V97,'Decisión'!$B$3:$F$3,0)))</f>
        <v/>
      </c>
      <c r="X97" s="8"/>
      <c r="Y97" s="8"/>
      <c r="Z97" s="8"/>
      <c r="AA97" s="8"/>
      <c r="AB97" s="8"/>
      <c r="AC97" s="8"/>
      <c r="AD97" s="9" t="str">
        <f>IF(OR(AB97="",AC97=""),"",INDEX('Decisión'!$B$4:$F$8,MATCH(AB97,'Decisión'!$A$4:$A$8,0),MATCH(AC97,'Decisión'!$B$3:$F$3,0)))</f>
        <v/>
      </c>
      <c r="AE97" s="9" t="str">
        <f>IF(W97="","",IF(OR(W97="Alto",W97="Muy alto"),IF(OR(E97="Sí",G97="Sí"),"Sí (obligatoria)","Valorar"),"Recomendada por defecto"))</f>
        <v/>
      </c>
      <c r="AF97" s="9" t="str">
        <f>IF(AD97="","",IF(AC97="Muy alto","Requiere observaciones DPD/jurídico y aprobación de la máxima autoridad",IF(OR(AD97="Muy bajo",AD97="Bajo"),"Aceptable (registrar y monitorear)",IF(AD97="Medio","Tratar en plan anual o aceptación formal","No aceptable: tratamiento prioritario"))))</f>
        <v/>
      </c>
      <c r="AG97" s="8"/>
      <c r="AH97" s="8"/>
    </row>
    <row r="98" spans="1:34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9" t="str">
        <f>IF(R98="","",INDEX(Listas!$B$2:$B$6,MIN(5,MATCH(R98,Listas!$B$2:$B$6,0)+IF(U98="",0,U98))))</f>
        <v/>
      </c>
      <c r="W98" s="9" t="str">
        <f>IF(OR(P98="",V98=""),"",INDEX('Decisión'!$B$4:$F$8,MATCH(P98,'Decisión'!$A$4:$A$8,0),MATCH(V98,'Decisión'!$B$3:$F$3,0)))</f>
        <v/>
      </c>
      <c r="X98" s="8"/>
      <c r="Y98" s="8"/>
      <c r="Z98" s="8"/>
      <c r="AA98" s="8"/>
      <c r="AB98" s="8"/>
      <c r="AC98" s="8"/>
      <c r="AD98" s="9" t="str">
        <f>IF(OR(AB98="",AC98=""),"",INDEX('Decisión'!$B$4:$F$8,MATCH(AB98,'Decisión'!$A$4:$A$8,0),MATCH(AC98,'Decisión'!$B$3:$F$3,0)))</f>
        <v/>
      </c>
      <c r="AE98" s="9" t="str">
        <f>IF(W98="","",IF(OR(W98="Alto",W98="Muy alto"),IF(OR(E98="Sí",G98="Sí"),"Sí (obligatoria)","Valorar"),"Recomendada por defecto"))</f>
        <v/>
      </c>
      <c r="AF98" s="9" t="str">
        <f>IF(AD98="","",IF(AC98="Muy alto","Requiere observaciones DPD/jurídico y aprobación de la máxima autoridad",IF(OR(AD98="Muy bajo",AD98="Bajo"),"Aceptable (registrar y monitorear)",IF(AD98="Medio","Tratar en plan anual o aceptación formal","No aceptable: tratamiento prioritario"))))</f>
        <v/>
      </c>
      <c r="AG98" s="8"/>
      <c r="AH98" s="8"/>
    </row>
    <row r="99" spans="1:34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9" t="str">
        <f>IF(R99="","",INDEX(Listas!$B$2:$B$6,MIN(5,MATCH(R99,Listas!$B$2:$B$6,0)+IF(U99="",0,U99))))</f>
        <v/>
      </c>
      <c r="W99" s="9" t="str">
        <f>IF(OR(P99="",V99=""),"",INDEX('Decisión'!$B$4:$F$8,MATCH(P99,'Decisión'!$A$4:$A$8,0),MATCH(V99,'Decisión'!$B$3:$F$3,0)))</f>
        <v/>
      </c>
      <c r="X99" s="8"/>
      <c r="Y99" s="8"/>
      <c r="Z99" s="8"/>
      <c r="AA99" s="8"/>
      <c r="AB99" s="8"/>
      <c r="AC99" s="8"/>
      <c r="AD99" s="9" t="str">
        <f>IF(OR(AB99="",AC99=""),"",INDEX('Decisión'!$B$4:$F$8,MATCH(AB99,'Decisión'!$A$4:$A$8,0),MATCH(AC99,'Decisión'!$B$3:$F$3,0)))</f>
        <v/>
      </c>
      <c r="AE99" s="9" t="str">
        <f>IF(W99="","",IF(OR(W99="Alto",W99="Muy alto"),IF(OR(E99="Sí",G99="Sí"),"Sí (obligatoria)","Valorar"),"Recomendada por defecto"))</f>
        <v/>
      </c>
      <c r="AF99" s="9" t="str">
        <f>IF(AD99="","",IF(AC99="Muy alto","Requiere observaciones DPD/jurídico y aprobación de la máxima autoridad",IF(OR(AD99="Muy bajo",AD99="Bajo"),"Aceptable (registrar y monitorear)",IF(AD99="Medio","Tratar en plan anual o aceptación formal","No aceptable: tratamiento prioritario"))))</f>
        <v/>
      </c>
      <c r="AG99" s="8"/>
      <c r="AH99" s="8"/>
    </row>
    <row r="100" spans="1:34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9" t="str">
        <f>IF(R100="","",INDEX(Listas!$B$2:$B$6,MIN(5,MATCH(R100,Listas!$B$2:$B$6,0)+IF(U100="",0,U100))))</f>
        <v/>
      </c>
      <c r="W100" s="9" t="str">
        <f>IF(OR(P100="",V100=""),"",INDEX('Decisión'!$B$4:$F$8,MATCH(P100,'Decisión'!$A$4:$A$8,0),MATCH(V100,'Decisión'!$B$3:$F$3,0)))</f>
        <v/>
      </c>
      <c r="X100" s="8"/>
      <c r="Y100" s="8"/>
      <c r="Z100" s="8"/>
      <c r="AA100" s="8"/>
      <c r="AB100" s="8"/>
      <c r="AC100" s="8"/>
      <c r="AD100" s="9" t="str">
        <f>IF(OR(AB100="",AC100=""),"",INDEX('Decisión'!$B$4:$F$8,MATCH(AB100,'Decisión'!$A$4:$A$8,0),MATCH(AC100,'Decisión'!$B$3:$F$3,0)))</f>
        <v/>
      </c>
      <c r="AE100" s="9" t="str">
        <f>IF(W100="","",IF(OR(W100="Alto",W100="Muy alto"),IF(OR(E100="Sí",G100="Sí"),"Sí (obligatoria)","Valorar"),"Recomendada por defecto"))</f>
        <v/>
      </c>
      <c r="AF100" s="9" t="str">
        <f>IF(AD100="","",IF(AC100="Muy alto","Requiere observaciones DPD/jurídico y aprobación de la máxima autoridad",IF(OR(AD100="Muy bajo",AD100="Bajo"),"Aceptable (registrar y monitorear)",IF(AD100="Medio","Tratar en plan anual o aceptación formal","No aceptable: tratamiento prioritario"))))</f>
        <v/>
      </c>
      <c r="AG100" s="8"/>
      <c r="AH100" s="8"/>
    </row>
    <row r="101" spans="1:34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9" t="str">
        <f>IF(R101="","",INDEX(Listas!$B$2:$B$6,MIN(5,MATCH(R101,Listas!$B$2:$B$6,0)+IF(U101="",0,U101))))</f>
        <v/>
      </c>
      <c r="W101" s="9" t="str">
        <f>IF(OR(P101="",V101=""),"",INDEX('Decisión'!$B$4:$F$8,MATCH(P101,'Decisión'!$A$4:$A$8,0),MATCH(V101,'Decisión'!$B$3:$F$3,0)))</f>
        <v/>
      </c>
      <c r="X101" s="8"/>
      <c r="Y101" s="8"/>
      <c r="Z101" s="8"/>
      <c r="AA101" s="8"/>
      <c r="AB101" s="8"/>
      <c r="AC101" s="8"/>
      <c r="AD101" s="9" t="str">
        <f>IF(OR(AB101="",AC101=""),"",INDEX('Decisión'!$B$4:$F$8,MATCH(AB101,'Decisión'!$A$4:$A$8,0),MATCH(AC101,'Decisión'!$B$3:$F$3,0)))</f>
        <v/>
      </c>
      <c r="AE101" s="9" t="str">
        <f>IF(W101="","",IF(OR(W101="Alto",W101="Muy alto"),IF(OR(E101="Sí",G101="Sí"),"Sí (obligatoria)","Valorar"),"Recomendada por defecto"))</f>
        <v/>
      </c>
      <c r="AF101" s="9" t="str">
        <f>IF(AD101="","",IF(AC101="Muy alto","Requiere observaciones DPD/jurídico y aprobación de la máxima autoridad",IF(OR(AD101="Muy bajo",AD101="Bajo"),"Aceptable (registrar y monitorear)",IF(AD101="Medio","Tratar en plan anual o aceptación formal","No aceptable: tratamiento prioritario"))))</f>
        <v/>
      </c>
      <c r="AG101" s="8"/>
      <c r="AH101" s="8"/>
    </row>
    <row r="102" spans="1:34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9" t="str">
        <f>IF(R102="","",INDEX(Listas!$B$2:$B$6,MIN(5,MATCH(R102,Listas!$B$2:$B$6,0)+IF(U102="",0,U102))))</f>
        <v/>
      </c>
      <c r="W102" s="9" t="str">
        <f>IF(OR(P102="",V102=""),"",INDEX('Decisión'!$B$4:$F$8,MATCH(P102,'Decisión'!$A$4:$A$8,0),MATCH(V102,'Decisión'!$B$3:$F$3,0)))</f>
        <v/>
      </c>
      <c r="X102" s="8"/>
      <c r="Y102" s="8"/>
      <c r="Z102" s="8"/>
      <c r="AA102" s="8"/>
      <c r="AB102" s="8"/>
      <c r="AC102" s="8"/>
      <c r="AD102" s="9" t="str">
        <f>IF(OR(AB102="",AC102=""),"",INDEX('Decisión'!$B$4:$F$8,MATCH(AB102,'Decisión'!$A$4:$A$8,0),MATCH(AC102,'Decisión'!$B$3:$F$3,0)))</f>
        <v/>
      </c>
      <c r="AE102" s="9" t="str">
        <f>IF(W102="","",IF(OR(W102="Alto",W102="Muy alto"),IF(OR(E102="Sí",G102="Sí"),"Sí (obligatoria)","Valorar"),"Recomendada por defecto"))</f>
        <v/>
      </c>
      <c r="AF102" s="9" t="str">
        <f>IF(AD102="","",IF(AC102="Muy alto","Requiere observaciones DPD/jurídico y aprobación de la máxima autoridad",IF(OR(AD102="Muy bajo",AD102="Bajo"),"Aceptable (registrar y monitorear)",IF(AD102="Medio","Tratar en plan anual o aceptación formal","No aceptable: tratamiento prioritario"))))</f>
        <v/>
      </c>
      <c r="AG102" s="8"/>
      <c r="AH102" s="8"/>
    </row>
    <row r="103" spans="1:34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9" t="str">
        <f>IF(R103="","",INDEX(Listas!$B$2:$B$6,MIN(5,MATCH(R103,Listas!$B$2:$B$6,0)+IF(U103="",0,U103))))</f>
        <v/>
      </c>
      <c r="W103" s="9" t="str">
        <f>IF(OR(P103="",V103=""),"",INDEX('Decisión'!$B$4:$F$8,MATCH(P103,'Decisión'!$A$4:$A$8,0),MATCH(V103,'Decisión'!$B$3:$F$3,0)))</f>
        <v/>
      </c>
      <c r="X103" s="8"/>
      <c r="Y103" s="8"/>
      <c r="Z103" s="8"/>
      <c r="AA103" s="8"/>
      <c r="AB103" s="8"/>
      <c r="AC103" s="8"/>
      <c r="AD103" s="9" t="str">
        <f>IF(OR(AB103="",AC103=""),"",INDEX('Decisión'!$B$4:$F$8,MATCH(AB103,'Decisión'!$A$4:$A$8,0),MATCH(AC103,'Decisión'!$B$3:$F$3,0)))</f>
        <v/>
      </c>
      <c r="AE103" s="9" t="str">
        <f>IF(W103="","",IF(OR(W103="Alto",W103="Muy alto"),IF(OR(E103="Sí",G103="Sí"),"Sí (obligatoria)","Valorar"),"Recomendada por defecto"))</f>
        <v/>
      </c>
      <c r="AF103" s="9" t="str">
        <f>IF(AD103="","",IF(AC103="Muy alto","Requiere observaciones DPD/jurídico y aprobación de la máxima autoridad",IF(OR(AD103="Muy bajo",AD103="Bajo"),"Aceptable (registrar y monitorear)",IF(AD103="Medio","Tratar en plan anual o aceptación formal","No aceptable: tratamiento prioritario"))))</f>
        <v/>
      </c>
      <c r="AG103" s="8"/>
      <c r="AH103" s="8"/>
    </row>
    <row r="104" spans="1:34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9" t="str">
        <f>IF(R104="","",INDEX(Listas!$B$2:$B$6,MIN(5,MATCH(R104,Listas!$B$2:$B$6,0)+IF(U104="",0,U104))))</f>
        <v/>
      </c>
      <c r="W104" s="9" t="str">
        <f>IF(OR(P104="",V104=""),"",INDEX('Decisión'!$B$4:$F$8,MATCH(P104,'Decisión'!$A$4:$A$8,0),MATCH(V104,'Decisión'!$B$3:$F$3,0)))</f>
        <v/>
      </c>
      <c r="X104" s="8"/>
      <c r="Y104" s="8"/>
      <c r="Z104" s="8"/>
      <c r="AA104" s="8"/>
      <c r="AB104" s="8"/>
      <c r="AC104" s="8"/>
      <c r="AD104" s="9" t="str">
        <f>IF(OR(AB104="",AC104=""),"",INDEX('Decisión'!$B$4:$F$8,MATCH(AB104,'Decisión'!$A$4:$A$8,0),MATCH(AC104,'Decisión'!$B$3:$F$3,0)))</f>
        <v/>
      </c>
      <c r="AE104" s="9" t="str">
        <f>IF(W104="","",IF(OR(W104="Alto",W104="Muy alto"),IF(OR(E104="Sí",G104="Sí"),"Sí (obligatoria)","Valorar"),"Recomendada por defecto"))</f>
        <v/>
      </c>
      <c r="AF104" s="9" t="str">
        <f>IF(AD104="","",IF(AC104="Muy alto","Requiere observaciones DPD/jurídico y aprobación de la máxima autoridad",IF(OR(AD104="Muy bajo",AD104="Bajo"),"Aceptable (registrar y monitorear)",IF(AD104="Medio","Tratar en plan anual o aceptación formal","No aceptable: tratamiento prioritario"))))</f>
        <v/>
      </c>
      <c r="AG104" s="8"/>
      <c r="AH104" s="8"/>
    </row>
  </sheetData>
  <autoFilter ref="A4:AH4"/>
  <mergeCells count="6">
    <mergeCell ref="A3:H3"/>
    <mergeCell ref="I3:O3"/>
    <mergeCell ref="P3:W3"/>
    <mergeCell ref="X3:AA3"/>
    <mergeCell ref="AB3:AF3"/>
    <mergeCell ref="AG3:AH3"/>
  </mergeCells>
  <conditionalFormatting sqref="V5:V104">
    <cfRule type="cellIs" dxfId="0" priority="1" operator="equal">
      <formula>"Muy bajo"</formula>
    </cfRule>
    <cfRule type="cellIs" dxfId="1" priority="2" operator="equal">
      <formula>"Bajo"</formula>
    </cfRule>
    <cfRule type="cellIs" dxfId="2" priority="3" operator="equal">
      <formula>"Medio"</formula>
    </cfRule>
    <cfRule type="cellIs" dxfId="3" priority="4" operator="equal">
      <formula>"Alto"</formula>
    </cfRule>
    <cfRule type="cellIs" dxfId="4" priority="5" operator="equal">
      <formula>"Muy alto"</formula>
    </cfRule>
  </conditionalFormatting>
  <conditionalFormatting sqref="W5:W104">
    <cfRule type="cellIs" dxfId="5" priority="1" operator="equal">
      <formula>"Muy bajo"</formula>
    </cfRule>
    <cfRule type="cellIs" dxfId="6" priority="2" operator="equal">
      <formula>"Bajo"</formula>
    </cfRule>
    <cfRule type="cellIs" dxfId="7" priority="3" operator="equal">
      <formula>"Medio"</formula>
    </cfRule>
    <cfRule type="cellIs" dxfId="8" priority="4" operator="equal">
      <formula>"Alto"</formula>
    </cfRule>
    <cfRule type="cellIs" dxfId="9" priority="5" operator="equal">
      <formula>"Muy alto"</formula>
    </cfRule>
  </conditionalFormatting>
  <conditionalFormatting sqref="AD5:AD104">
    <cfRule type="cellIs" dxfId="10" priority="1" operator="equal">
      <formula>"Muy bajo"</formula>
    </cfRule>
    <cfRule type="cellIs" dxfId="11" priority="2" operator="equal">
      <formula>"Bajo"</formula>
    </cfRule>
    <cfRule type="cellIs" dxfId="12" priority="3" operator="equal">
      <formula>"Medio"</formula>
    </cfRule>
    <cfRule type="cellIs" dxfId="13" priority="4" operator="equal">
      <formula>"Alto"</formula>
    </cfRule>
    <cfRule type="cellIs" dxfId="14" priority="5" operator="equal">
      <formula>"Muy alto"</formula>
    </cfRule>
  </conditionalFormatting>
  <dataValidations count="24">
    <dataValidation type="list" allowBlank="1" showErrorMessage="1" errorTitle="Valor no válido" error="Seleccione un valor de la lista." sqref="AB10:AB104">
      <formula1>Listas!$A$2:$A$6</formula1>
    </dataValidation>
    <dataValidation type="list" allowBlank="1" showErrorMessage="1" errorTitle="Valor no válido" error="Seleccione un valor de la lista." sqref="AB5:AB104">
      <formula1>Listas!$A$2:$A$6</formula1>
    </dataValidation>
    <dataValidation type="list" allowBlank="1" showErrorMessage="1" errorTitle="Valor no válido" error="Seleccione un valor de la lista." sqref="AC10:AC104">
      <formula1>Listas!$B$2:$B$6</formula1>
    </dataValidation>
    <dataValidation type="list" allowBlank="1" showErrorMessage="1" errorTitle="Valor no válido" error="Seleccione un valor de la lista." sqref="AC5:AC104">
      <formula1>Listas!$B$2:$B$6</formula1>
    </dataValidation>
    <dataValidation type="list" allowBlank="1" showErrorMessage="1" errorTitle="Valor no válido" error="Seleccione un valor de la lista." sqref="AH10:AH104">
      <formula1>Listas!$G$2:$G$6</formula1>
    </dataValidation>
    <dataValidation type="list" allowBlank="1" showErrorMessage="1" errorTitle="Valor no válido" error="Seleccione un valor de la lista." sqref="AH5:AH104">
      <formula1>Listas!$G$2:$G$6</formula1>
    </dataValidation>
    <dataValidation type="list" allowBlank="1" showErrorMessage="1" errorTitle="Valor no válido" error="Seleccione un valor de la lista." sqref="B10:B104">
      <formula1>Listas!$I$2:$I$7</formula1>
    </dataValidation>
    <dataValidation type="list" allowBlank="1" showErrorMessage="1" errorTitle="Valor no válido" error="Seleccione un valor de la lista." sqref="B5:B104">
      <formula1>Listas!$I$2:$I$7</formula1>
    </dataValidation>
    <dataValidation type="list" allowBlank="1" showErrorMessage="1" errorTitle="Valor no válido" error="Seleccione un valor de la lista." sqref="E10:E104">
      <formula1>Listas!$C$2:$C$3</formula1>
    </dataValidation>
    <dataValidation type="list" allowBlank="1" showErrorMessage="1" errorTitle="Valor no válido" error="Seleccione un valor de la lista." sqref="E5:E104">
      <formula1>Listas!$C$2:$C$3</formula1>
    </dataValidation>
    <dataValidation type="list" allowBlank="1" showErrorMessage="1" errorTitle="Valor no válido" error="Seleccione un valor de la lista." sqref="G10:G104">
      <formula1>Listas!$C$2:$C$3</formula1>
    </dataValidation>
    <dataValidation type="list" allowBlank="1" showErrorMessage="1" errorTitle="Valor no válido" error="Seleccione un valor de la lista." sqref="G5:G104">
      <formula1>Listas!$C$2:$C$3</formula1>
    </dataValidation>
    <dataValidation type="list" allowBlank="1" showErrorMessage="1" errorTitle="Valor no válido" error="Seleccione un valor de la lista." sqref="I10:I104">
      <formula1>Listas!$D$2:$D$5</formula1>
    </dataValidation>
    <dataValidation type="list" allowBlank="1" showErrorMessage="1" errorTitle="Valor no válido" error="Seleccione un valor de la lista." sqref="I5:I104">
      <formula1>Listas!$D$2:$D$5</formula1>
    </dataValidation>
    <dataValidation type="list" allowBlank="1" showErrorMessage="1" errorTitle="Valor no válido" error="Seleccione un valor de la lista." sqref="M10:M104">
      <formula1>Listas!$E$2:$E$5</formula1>
    </dataValidation>
    <dataValidation type="list" allowBlank="1" showErrorMessage="1" errorTitle="Valor no válido" error="Seleccione un valor de la lista." sqref="M5:M104">
      <formula1>Listas!$E$2:$E$5</formula1>
    </dataValidation>
    <dataValidation type="list" allowBlank="1" showErrorMessage="1" errorTitle="Valor no válido" error="Seleccione un valor de la lista." sqref="P10:P104">
      <formula1>Listas!$A$2:$A$6</formula1>
    </dataValidation>
    <dataValidation type="list" allowBlank="1" showErrorMessage="1" errorTitle="Valor no válido" error="Seleccione un valor de la lista." sqref="P5:P104">
      <formula1>Listas!$A$2:$A$6</formula1>
    </dataValidation>
    <dataValidation type="list" allowBlank="1" showErrorMessage="1" errorTitle="Valor no válido" error="Seleccione un valor de la lista." sqref="R10:S104">
      <formula1>Listas!$B$2:$B$6</formula1>
    </dataValidation>
    <dataValidation type="list" allowBlank="1" showErrorMessage="1" errorTitle="Valor no válido" error="Seleccione un valor de la lista." sqref="R5:S104">
      <formula1>Listas!$B$2:$B$6</formula1>
    </dataValidation>
    <dataValidation type="list" allowBlank="1" showErrorMessage="1" errorTitle="Valor no válido" error="Seleccione un valor de la lista." sqref="U10:U104">
      <formula1>Listas!$H$2:$H$5</formula1>
    </dataValidation>
    <dataValidation type="list" allowBlank="1" showErrorMessage="1" errorTitle="Valor no válido" error="Seleccione un valor de la lista." sqref="U5:U104">
      <formula1>Listas!$H$2:$H$5</formula1>
    </dataValidation>
    <dataValidation type="list" allowBlank="1" showErrorMessage="1" errorTitle="Valor no válido" error="Seleccione un valor de la lista." sqref="X10:X104">
      <formula1>Listas!$F$2:$F$5</formula1>
    </dataValidation>
    <dataValidation type="list" allowBlank="1" showErrorMessage="1" errorTitle="Valor no válido" error="Seleccione un valor de la lista." sqref="X5:X104">
      <formula1>Listas!$F$2:$F$5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24" customWidth="1"/>
    <col min="2" max="6" width="14" customWidth="1"/>
  </cols>
  <sheetData>
    <row r="1" spans="1:1" x14ac:dyDescent="0.25">
      <c r="A1" s="1" t="s">
        <v>272</v>
      </c>
    </row>
    <row r="2" spans="1:1" x14ac:dyDescent="0.25">
      <c r="A2" s="2" t="s">
        <v>273</v>
      </c>
    </row>
    <row r="3" spans="1:6" x14ac:dyDescent="0.25">
      <c r="A3" s="7" t="s">
        <v>274</v>
      </c>
      <c r="B3" s="7" t="s">
        <v>275</v>
      </c>
      <c r="C3" s="7" t="s">
        <v>125</v>
      </c>
      <c r="D3" s="7" t="s">
        <v>83</v>
      </c>
      <c r="E3" s="7" t="s">
        <v>76</v>
      </c>
      <c r="F3" s="7" t="s">
        <v>203</v>
      </c>
    </row>
    <row r="4" spans="1:6" x14ac:dyDescent="0.25">
      <c r="A4" s="10" t="s">
        <v>137</v>
      </c>
      <c r="B4" s="11" t="s">
        <v>83</v>
      </c>
      <c r="C4" s="12" t="s">
        <v>76</v>
      </c>
      <c r="D4" s="12" t="s">
        <v>76</v>
      </c>
      <c r="E4" s="13" t="s">
        <v>203</v>
      </c>
      <c r="F4" s="13" t="s">
        <v>203</v>
      </c>
    </row>
    <row r="5" spans="1:6" x14ac:dyDescent="0.25">
      <c r="A5" s="10" t="s">
        <v>99</v>
      </c>
      <c r="B5" s="14" t="s">
        <v>125</v>
      </c>
      <c r="C5" s="11" t="s">
        <v>83</v>
      </c>
      <c r="D5" s="12" t="s">
        <v>76</v>
      </c>
      <c r="E5" s="13" t="s">
        <v>203</v>
      </c>
      <c r="F5" s="13" t="s">
        <v>203</v>
      </c>
    </row>
    <row r="6" spans="1:6" x14ac:dyDescent="0.25">
      <c r="A6" s="10" t="s">
        <v>74</v>
      </c>
      <c r="B6" s="14" t="s">
        <v>125</v>
      </c>
      <c r="C6" s="11" t="s">
        <v>83</v>
      </c>
      <c r="D6" s="11" t="s">
        <v>83</v>
      </c>
      <c r="E6" s="12" t="s">
        <v>76</v>
      </c>
      <c r="F6" s="13" t="s">
        <v>203</v>
      </c>
    </row>
    <row r="7" spans="1:6" x14ac:dyDescent="0.25">
      <c r="A7" s="10" t="s">
        <v>82</v>
      </c>
      <c r="B7" s="15" t="s">
        <v>275</v>
      </c>
      <c r="C7" s="14" t="s">
        <v>125</v>
      </c>
      <c r="D7" s="11" t="s">
        <v>83</v>
      </c>
      <c r="E7" s="12" t="s">
        <v>76</v>
      </c>
      <c r="F7" s="12" t="s">
        <v>76</v>
      </c>
    </row>
    <row r="8" spans="1:6" x14ac:dyDescent="0.25">
      <c r="A8" s="10" t="s">
        <v>124</v>
      </c>
      <c r="B8" s="15" t="s">
        <v>275</v>
      </c>
      <c r="C8" s="15" t="s">
        <v>275</v>
      </c>
      <c r="D8" s="14" t="s">
        <v>125</v>
      </c>
      <c r="E8" s="11" t="s">
        <v>83</v>
      </c>
      <c r="F8" s="12" t="s">
        <v>76</v>
      </c>
    </row>
    <row r="10" spans="1:1" x14ac:dyDescent="0.25">
      <c r="A10" s="16" t="s">
        <v>276</v>
      </c>
    </row>
    <row r="11" spans="1:6" x14ac:dyDescent="0.25">
      <c r="A11" s="7" t="s">
        <v>277</v>
      </c>
      <c r="B11" s="7" t="s">
        <v>278</v>
      </c>
      <c r="C11" s="7"/>
      <c r="D11" s="7"/>
      <c r="E11" s="7"/>
      <c r="F11" s="7"/>
    </row>
    <row r="12" ht="30" customHeight="1" spans="1:6" x14ac:dyDescent="0.25">
      <c r="A12" s="17" t="s">
        <v>275</v>
      </c>
      <c r="B12" s="18" t="s">
        <v>279</v>
      </c>
      <c r="C12" s="18"/>
      <c r="D12" s="18"/>
      <c r="E12" s="18"/>
      <c r="F12" s="18"/>
    </row>
    <row r="13" ht="30" customHeight="1" spans="1:6" x14ac:dyDescent="0.25">
      <c r="A13" s="19" t="s">
        <v>125</v>
      </c>
      <c r="B13" s="18" t="s">
        <v>279</v>
      </c>
      <c r="C13" s="18"/>
      <c r="D13" s="18"/>
      <c r="E13" s="18"/>
      <c r="F13" s="18"/>
    </row>
    <row r="14" ht="30" customHeight="1" spans="1:6" x14ac:dyDescent="0.25">
      <c r="A14" s="20" t="s">
        <v>83</v>
      </c>
      <c r="B14" s="18" t="s">
        <v>280</v>
      </c>
      <c r="C14" s="18"/>
      <c r="D14" s="18"/>
      <c r="E14" s="18"/>
      <c r="F14" s="18"/>
    </row>
    <row r="15" ht="30" customHeight="1" spans="1:6" x14ac:dyDescent="0.25">
      <c r="A15" s="21" t="s">
        <v>76</v>
      </c>
      <c r="B15" s="18" t="s">
        <v>281</v>
      </c>
      <c r="C15" s="18"/>
      <c r="D15" s="18"/>
      <c r="E15" s="18"/>
      <c r="F15" s="18"/>
    </row>
    <row r="16" ht="30" customHeight="1" spans="1:6" x14ac:dyDescent="0.25">
      <c r="A16" s="22" t="s">
        <v>203</v>
      </c>
      <c r="B16" s="18" t="s">
        <v>282</v>
      </c>
      <c r="C16" s="18"/>
      <c r="D16" s="18"/>
      <c r="E16" s="18"/>
      <c r="F16" s="18"/>
    </row>
    <row r="18" spans="1:1" x14ac:dyDescent="0.25">
      <c r="A18" s="2" t="s">
        <v>283</v>
      </c>
    </row>
  </sheetData>
  <mergeCells count="6">
    <mergeCell ref="B11:F11"/>
    <mergeCell ref="B12:F12"/>
    <mergeCell ref="B13:F13"/>
    <mergeCell ref="B14:F14"/>
    <mergeCell ref="B15:F15"/>
    <mergeCell ref="B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1" width="30" customWidth="1"/>
    <col min="2" max="2" width="22" customWidth="1"/>
    <col min="3" max="3" width="40" customWidth="1"/>
    <col min="4" max="4" width="60" customWidth="1"/>
  </cols>
  <sheetData>
    <row r="1" spans="1:1" x14ac:dyDescent="0.25">
      <c r="A1" s="1" t="s">
        <v>284</v>
      </c>
    </row>
    <row r="2" spans="1:1" x14ac:dyDescent="0.25">
      <c r="A2" s="2" t="s">
        <v>285</v>
      </c>
    </row>
    <row r="4" spans="1:1" x14ac:dyDescent="0.25">
      <c r="A4" s="16" t="s">
        <v>286</v>
      </c>
    </row>
    <row r="5" spans="1:4" x14ac:dyDescent="0.25">
      <c r="A5" s="7" t="s">
        <v>277</v>
      </c>
      <c r="B5" s="7" t="s">
        <v>287</v>
      </c>
      <c r="C5" s="7" t="s">
        <v>288</v>
      </c>
      <c r="D5" s="7" t="s">
        <v>289</v>
      </c>
    </row>
    <row r="6" spans="1:4" x14ac:dyDescent="0.25">
      <c r="A6" s="18" t="s">
        <v>124</v>
      </c>
      <c r="B6" s="18">
        <v>1</v>
      </c>
      <c r="C6" s="18" t="s">
        <v>290</v>
      </c>
      <c r="D6" s="18" t="s">
        <v>291</v>
      </c>
    </row>
    <row r="7" spans="1:4" x14ac:dyDescent="0.25">
      <c r="A7" s="18" t="s">
        <v>82</v>
      </c>
      <c r="B7" s="18">
        <v>2</v>
      </c>
      <c r="C7" s="18" t="s">
        <v>292</v>
      </c>
      <c r="D7" s="18" t="s">
        <v>293</v>
      </c>
    </row>
    <row r="8" spans="1:4" x14ac:dyDescent="0.25">
      <c r="A8" s="18" t="s">
        <v>74</v>
      </c>
      <c r="B8" s="18">
        <v>3</v>
      </c>
      <c r="C8" s="18" t="s">
        <v>294</v>
      </c>
      <c r="D8" s="18" t="s">
        <v>295</v>
      </c>
    </row>
    <row r="9" spans="1:4" x14ac:dyDescent="0.25">
      <c r="A9" s="18" t="s">
        <v>99</v>
      </c>
      <c r="B9" s="18">
        <v>4</v>
      </c>
      <c r="C9" s="18" t="s">
        <v>296</v>
      </c>
      <c r="D9" s="18" t="s">
        <v>297</v>
      </c>
    </row>
    <row r="10" spans="1:4" x14ac:dyDescent="0.25">
      <c r="A10" s="18" t="s">
        <v>137</v>
      </c>
      <c r="B10" s="18">
        <v>5</v>
      </c>
      <c r="C10" s="18" t="s">
        <v>298</v>
      </c>
      <c r="D10" s="18" t="s">
        <v>299</v>
      </c>
    </row>
    <row r="12" spans="1:1" x14ac:dyDescent="0.25">
      <c r="A12" s="16" t="s">
        <v>300</v>
      </c>
    </row>
    <row r="13" spans="1:4" x14ac:dyDescent="0.25">
      <c r="A13" s="7" t="s">
        <v>277</v>
      </c>
      <c r="B13" s="7" t="s">
        <v>287</v>
      </c>
      <c r="C13" s="7" t="s">
        <v>301</v>
      </c>
      <c r="D13" s="7"/>
    </row>
    <row r="14" ht="30" customHeight="1" spans="1:4" x14ac:dyDescent="0.25">
      <c r="A14" s="18" t="s">
        <v>275</v>
      </c>
      <c r="B14" s="18">
        <v>1</v>
      </c>
      <c r="C14" s="18" t="s">
        <v>302</v>
      </c>
      <c r="D14" s="18"/>
    </row>
    <row r="15" ht="30" customHeight="1" spans="1:4" x14ac:dyDescent="0.25">
      <c r="A15" s="18" t="s">
        <v>125</v>
      </c>
      <c r="B15" s="18">
        <v>2</v>
      </c>
      <c r="C15" s="18" t="s">
        <v>303</v>
      </c>
      <c r="D15" s="18"/>
    </row>
    <row r="16" ht="30" customHeight="1" spans="1:4" x14ac:dyDescent="0.25">
      <c r="A16" s="18" t="s">
        <v>83</v>
      </c>
      <c r="B16" s="18">
        <v>3</v>
      </c>
      <c r="C16" s="18" t="s">
        <v>304</v>
      </c>
      <c r="D16" s="18"/>
    </row>
    <row r="17" ht="30" customHeight="1" spans="1:4" x14ac:dyDescent="0.25">
      <c r="A17" s="18" t="s">
        <v>76</v>
      </c>
      <c r="B17" s="18">
        <v>4</v>
      </c>
      <c r="C17" s="18" t="s">
        <v>305</v>
      </c>
      <c r="D17" s="18"/>
    </row>
    <row r="18" ht="30" customHeight="1" spans="1:4" x14ac:dyDescent="0.25">
      <c r="A18" s="18" t="s">
        <v>203</v>
      </c>
      <c r="B18" s="18">
        <v>5</v>
      </c>
      <c r="C18" s="18" t="s">
        <v>306</v>
      </c>
      <c r="D18" s="18"/>
    </row>
    <row r="20" spans="1:1" x14ac:dyDescent="0.25">
      <c r="A20" s="16" t="s">
        <v>307</v>
      </c>
    </row>
    <row r="21" spans="1:4" x14ac:dyDescent="0.25">
      <c r="A21" s="7" t="s">
        <v>277</v>
      </c>
      <c r="B21" s="7" t="s">
        <v>287</v>
      </c>
      <c r="C21" s="7" t="s">
        <v>308</v>
      </c>
      <c r="D21" s="7"/>
    </row>
    <row r="22" ht="28" customHeight="1" spans="1:4" x14ac:dyDescent="0.25">
      <c r="A22" s="18" t="s">
        <v>275</v>
      </c>
      <c r="B22" s="18">
        <v>1</v>
      </c>
      <c r="C22" s="18" t="s">
        <v>309</v>
      </c>
      <c r="D22" s="18"/>
    </row>
    <row r="23" ht="28" customHeight="1" spans="1:4" x14ac:dyDescent="0.25">
      <c r="A23" s="18" t="s">
        <v>125</v>
      </c>
      <c r="B23" s="18">
        <v>2</v>
      </c>
      <c r="C23" s="18" t="s">
        <v>310</v>
      </c>
      <c r="D23" s="18"/>
    </row>
    <row r="24" ht="28" customHeight="1" spans="1:4" x14ac:dyDescent="0.25">
      <c r="A24" s="18" t="s">
        <v>83</v>
      </c>
      <c r="B24" s="18">
        <v>3</v>
      </c>
      <c r="C24" s="18" t="s">
        <v>311</v>
      </c>
      <c r="D24" s="18"/>
    </row>
    <row r="25" ht="28" customHeight="1" spans="1:4" x14ac:dyDescent="0.25">
      <c r="A25" s="18" t="s">
        <v>76</v>
      </c>
      <c r="B25" s="18">
        <v>4</v>
      </c>
      <c r="C25" s="18" t="s">
        <v>312</v>
      </c>
      <c r="D25" s="18"/>
    </row>
    <row r="26" ht="28" customHeight="1" spans="1:4" x14ac:dyDescent="0.25">
      <c r="A26" s="18" t="s">
        <v>203</v>
      </c>
      <c r="B26" s="18">
        <v>5</v>
      </c>
      <c r="C26" s="18" t="s">
        <v>313</v>
      </c>
      <c r="D26" s="18"/>
    </row>
    <row r="28" spans="1:1" x14ac:dyDescent="0.25">
      <c r="A28" s="16" t="s">
        <v>314</v>
      </c>
    </row>
    <row r="29" spans="1:4" x14ac:dyDescent="0.25">
      <c r="A29" s="7" t="s">
        <v>278</v>
      </c>
      <c r="B29" s="7" t="s">
        <v>315</v>
      </c>
      <c r="C29" s="7" t="s">
        <v>316</v>
      </c>
      <c r="D29" s="7"/>
    </row>
    <row r="30" ht="30" customHeight="1" spans="1:4" x14ac:dyDescent="0.25">
      <c r="A30" s="18" t="s">
        <v>317</v>
      </c>
      <c r="B30" s="18" t="s">
        <v>318</v>
      </c>
      <c r="C30" s="18" t="s">
        <v>319</v>
      </c>
      <c r="D30" s="18"/>
    </row>
    <row r="31" ht="30" customHeight="1" spans="1:4" x14ac:dyDescent="0.25">
      <c r="A31" s="18" t="s">
        <v>320</v>
      </c>
      <c r="B31" s="18" t="s">
        <v>321</v>
      </c>
      <c r="C31" s="18" t="s">
        <v>322</v>
      </c>
      <c r="D31" s="18"/>
    </row>
    <row r="32" ht="30" customHeight="1" spans="1:4" x14ac:dyDescent="0.25">
      <c r="A32" s="18" t="s">
        <v>323</v>
      </c>
      <c r="B32" s="18" t="s">
        <v>324</v>
      </c>
      <c r="C32" s="18" t="s">
        <v>325</v>
      </c>
      <c r="D32" s="18"/>
    </row>
  </sheetData>
  <mergeCells count="16">
    <mergeCell ref="C13:D13"/>
    <mergeCell ref="C14:D14"/>
    <mergeCell ref="C15:D15"/>
    <mergeCell ref="C16:D16"/>
    <mergeCell ref="C17:D17"/>
    <mergeCell ref="C18:D18"/>
    <mergeCell ref="C21:D21"/>
    <mergeCell ref="C22:D22"/>
    <mergeCell ref="C23:D23"/>
    <mergeCell ref="C24:D24"/>
    <mergeCell ref="C25:D25"/>
    <mergeCell ref="C26:D26"/>
    <mergeCell ref="C29:D29"/>
    <mergeCell ref="C30:D30"/>
    <mergeCell ref="C31:D31"/>
    <mergeCell ref="C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8" customWidth="1"/>
    <col min="2" max="2" width="42" customWidth="1"/>
    <col min="3" max="3" width="30" customWidth="1"/>
    <col min="4" max="4" width="46" customWidth="1"/>
    <col min="5" max="6" width="14" customWidth="1"/>
  </cols>
  <sheetData>
    <row r="1" spans="1:1" x14ac:dyDescent="0.25">
      <c r="A1" s="1" t="s">
        <v>326</v>
      </c>
    </row>
    <row r="2" spans="1:1" x14ac:dyDescent="0.25">
      <c r="A2" s="2" t="s">
        <v>327</v>
      </c>
    </row>
    <row r="4" spans="1:6" x14ac:dyDescent="0.25">
      <c r="A4" s="7" t="s">
        <v>28</v>
      </c>
      <c r="B4" s="7" t="s">
        <v>328</v>
      </c>
      <c r="C4" s="7" t="s">
        <v>37</v>
      </c>
      <c r="D4" s="7" t="s">
        <v>329</v>
      </c>
      <c r="E4" s="7" t="s">
        <v>330</v>
      </c>
      <c r="F4" s="7" t="s">
        <v>331</v>
      </c>
    </row>
    <row r="5" spans="1:6" x14ac:dyDescent="0.25">
      <c r="A5" s="18" t="s">
        <v>332</v>
      </c>
      <c r="B5" s="18" t="s">
        <v>333</v>
      </c>
      <c r="C5" s="18" t="s">
        <v>93</v>
      </c>
      <c r="D5" s="18" t="s">
        <v>334</v>
      </c>
      <c r="E5" s="18" t="s">
        <v>335</v>
      </c>
      <c r="F5" s="18" t="s">
        <v>336</v>
      </c>
    </row>
    <row r="6" spans="1:6" x14ac:dyDescent="0.25">
      <c r="A6" s="18" t="s">
        <v>337</v>
      </c>
      <c r="B6" s="18" t="s">
        <v>338</v>
      </c>
      <c r="C6" s="18" t="s">
        <v>93</v>
      </c>
      <c r="D6" s="18" t="s">
        <v>339</v>
      </c>
      <c r="E6" s="18" t="s">
        <v>340</v>
      </c>
      <c r="F6" s="18" t="s">
        <v>341</v>
      </c>
    </row>
    <row r="7" spans="1:6" x14ac:dyDescent="0.25">
      <c r="A7" s="18" t="s">
        <v>342</v>
      </c>
      <c r="B7" s="18" t="s">
        <v>343</v>
      </c>
      <c r="C7" s="18" t="s">
        <v>150</v>
      </c>
      <c r="D7" s="18" t="s">
        <v>344</v>
      </c>
      <c r="E7" s="18" t="s">
        <v>345</v>
      </c>
      <c r="F7" s="18" t="s">
        <v>346</v>
      </c>
    </row>
    <row r="8" spans="1:6" x14ac:dyDescent="0.25">
      <c r="A8" s="18" t="s">
        <v>347</v>
      </c>
      <c r="B8" s="18" t="s">
        <v>348</v>
      </c>
      <c r="C8" s="18" t="s">
        <v>349</v>
      </c>
      <c r="D8" s="18" t="s">
        <v>350</v>
      </c>
      <c r="E8" s="18" t="s">
        <v>345</v>
      </c>
      <c r="F8" s="18" t="s">
        <v>351</v>
      </c>
    </row>
    <row r="9" spans="1:6" x14ac:dyDescent="0.25">
      <c r="A9" s="18" t="s">
        <v>352</v>
      </c>
      <c r="B9" s="18" t="s">
        <v>353</v>
      </c>
      <c r="C9" s="18" t="s">
        <v>349</v>
      </c>
      <c r="D9" s="18" t="s">
        <v>354</v>
      </c>
      <c r="E9" s="18" t="s">
        <v>355</v>
      </c>
      <c r="F9" s="18" t="s">
        <v>356</v>
      </c>
    </row>
    <row r="10" spans="1:6" x14ac:dyDescent="0.25">
      <c r="A10" s="18" t="s">
        <v>357</v>
      </c>
      <c r="B10" s="18" t="s">
        <v>358</v>
      </c>
      <c r="C10" s="18" t="s">
        <v>359</v>
      </c>
      <c r="D10" s="18" t="s">
        <v>360</v>
      </c>
      <c r="E10" s="18" t="s">
        <v>355</v>
      </c>
      <c r="F10" s="18" t="s">
        <v>361</v>
      </c>
    </row>
    <row r="11" spans="1:6" x14ac:dyDescent="0.25">
      <c r="A11" s="18" t="s">
        <v>362</v>
      </c>
      <c r="B11" s="18" t="s">
        <v>363</v>
      </c>
      <c r="C11" s="18" t="s">
        <v>113</v>
      </c>
      <c r="D11" s="18" t="s">
        <v>226</v>
      </c>
      <c r="E11" s="18" t="s">
        <v>364</v>
      </c>
      <c r="F11" s="18" t="s">
        <v>365</v>
      </c>
    </row>
    <row r="12" spans="1:6" x14ac:dyDescent="0.25">
      <c r="A12" s="18" t="s">
        <v>366</v>
      </c>
      <c r="B12" s="18" t="s">
        <v>367</v>
      </c>
      <c r="C12" s="18" t="s">
        <v>113</v>
      </c>
      <c r="D12" s="18" t="s">
        <v>368</v>
      </c>
      <c r="E12" s="18" t="s">
        <v>112</v>
      </c>
      <c r="F12" s="18" t="s">
        <v>369</v>
      </c>
    </row>
    <row r="13" spans="1:6" x14ac:dyDescent="0.25">
      <c r="A13" s="18" t="s">
        <v>370</v>
      </c>
      <c r="B13" s="18" t="s">
        <v>371</v>
      </c>
      <c r="C13" s="18" t="s">
        <v>372</v>
      </c>
      <c r="D13" s="18" t="s">
        <v>373</v>
      </c>
      <c r="E13" s="18" t="s">
        <v>335</v>
      </c>
      <c r="F13" s="18" t="s">
        <v>374</v>
      </c>
    </row>
    <row r="14" spans="1:6" x14ac:dyDescent="0.25">
      <c r="A14" s="18" t="s">
        <v>375</v>
      </c>
      <c r="B14" s="18" t="s">
        <v>376</v>
      </c>
      <c r="C14" s="18" t="s">
        <v>166</v>
      </c>
      <c r="D14" s="18" t="s">
        <v>167</v>
      </c>
      <c r="E14" s="18" t="s">
        <v>377</v>
      </c>
      <c r="F14" s="18" t="s">
        <v>356</v>
      </c>
    </row>
    <row r="15" spans="1:6" x14ac:dyDescent="0.25">
      <c r="A15" s="18" t="s">
        <v>378</v>
      </c>
      <c r="B15" s="18" t="s">
        <v>379</v>
      </c>
      <c r="C15" s="18" t="s">
        <v>380</v>
      </c>
      <c r="D15" s="18" t="s">
        <v>381</v>
      </c>
      <c r="E15" s="18" t="s">
        <v>382</v>
      </c>
      <c r="F15" s="18" t="s">
        <v>383</v>
      </c>
    </row>
    <row r="16" spans="1:6" x14ac:dyDescent="0.25">
      <c r="A16" s="18" t="s">
        <v>384</v>
      </c>
      <c r="B16" s="18" t="s">
        <v>385</v>
      </c>
      <c r="C16" s="18" t="s">
        <v>386</v>
      </c>
      <c r="D16" s="18" t="s">
        <v>387</v>
      </c>
      <c r="E16" s="18" t="s">
        <v>388</v>
      </c>
      <c r="F16" s="18" t="s">
        <v>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20" customWidth="1"/>
    <col min="2" max="2" width="44" customWidth="1"/>
    <col min="3" max="3" width="16" customWidth="1"/>
    <col min="4" max="4" width="60" customWidth="1"/>
  </cols>
  <sheetData>
    <row r="1" spans="1:1" x14ac:dyDescent="0.25">
      <c r="A1" s="1" t="s">
        <v>390</v>
      </c>
    </row>
    <row r="2" spans="1:1" x14ac:dyDescent="0.25">
      <c r="A2" s="2" t="s">
        <v>391</v>
      </c>
    </row>
    <row r="4" spans="1:4" x14ac:dyDescent="0.25">
      <c r="A4" s="7" t="s">
        <v>392</v>
      </c>
      <c r="B4" s="7" t="s">
        <v>393</v>
      </c>
      <c r="C4" s="7" t="s">
        <v>394</v>
      </c>
      <c r="D4" s="7" t="s">
        <v>395</v>
      </c>
    </row>
    <row r="5" spans="1:4" x14ac:dyDescent="0.25">
      <c r="A5" s="18" t="s">
        <v>396</v>
      </c>
      <c r="B5" s="18" t="s">
        <v>397</v>
      </c>
      <c r="C5" s="18" t="s">
        <v>71</v>
      </c>
      <c r="D5" s="18" t="s">
        <v>398</v>
      </c>
    </row>
    <row r="6" spans="1:4" x14ac:dyDescent="0.25">
      <c r="A6" s="18" t="s">
        <v>399</v>
      </c>
      <c r="B6" s="18" t="s">
        <v>400</v>
      </c>
      <c r="C6" s="18" t="s">
        <v>71</v>
      </c>
      <c r="D6" s="18" t="s">
        <v>401</v>
      </c>
    </row>
    <row r="7" spans="1:4" x14ac:dyDescent="0.25">
      <c r="A7" s="18" t="s">
        <v>402</v>
      </c>
      <c r="B7" s="18" t="s">
        <v>403</v>
      </c>
      <c r="C7" s="18" t="s">
        <v>71</v>
      </c>
      <c r="D7" s="18" t="s">
        <v>404</v>
      </c>
    </row>
    <row r="8" spans="1:4" x14ac:dyDescent="0.25">
      <c r="A8" s="18" t="s">
        <v>405</v>
      </c>
      <c r="B8" s="18" t="s">
        <v>406</v>
      </c>
      <c r="C8" s="18" t="s">
        <v>407</v>
      </c>
      <c r="D8" s="18" t="s">
        <v>408</v>
      </c>
    </row>
    <row r="9" spans="1:4" x14ac:dyDescent="0.25">
      <c r="A9" s="18" t="s">
        <v>409</v>
      </c>
      <c r="B9" s="18" t="s">
        <v>410</v>
      </c>
      <c r="C9" s="18" t="s">
        <v>71</v>
      </c>
      <c r="D9" s="18" t="s">
        <v>411</v>
      </c>
    </row>
    <row r="10" spans="1:4" x14ac:dyDescent="0.25">
      <c r="A10" s="18" t="s">
        <v>412</v>
      </c>
      <c r="B10" s="18" t="s">
        <v>413</v>
      </c>
      <c r="C10" s="18" t="s">
        <v>414</v>
      </c>
      <c r="D10" s="18" t="s">
        <v>415</v>
      </c>
    </row>
    <row r="11" spans="1:4" x14ac:dyDescent="0.25">
      <c r="A11" s="18" t="s">
        <v>416</v>
      </c>
      <c r="B11" s="18" t="s">
        <v>417</v>
      </c>
      <c r="C11" s="18" t="s">
        <v>71</v>
      </c>
      <c r="D11" s="18" t="s">
        <v>418</v>
      </c>
    </row>
    <row r="12" spans="1:4" x14ac:dyDescent="0.25">
      <c r="A12" s="18" t="s">
        <v>419</v>
      </c>
      <c r="B12" s="18" t="s">
        <v>420</v>
      </c>
      <c r="C12" s="18" t="s">
        <v>414</v>
      </c>
      <c r="D12" s="18" t="s">
        <v>421</v>
      </c>
    </row>
    <row r="13" spans="1:4" x14ac:dyDescent="0.25">
      <c r="A13" s="18" t="s">
        <v>422</v>
      </c>
      <c r="B13" s="18" t="s">
        <v>423</v>
      </c>
      <c r="C13" s="18" t="s">
        <v>414</v>
      </c>
      <c r="D13" s="18" t="s">
        <v>424</v>
      </c>
    </row>
    <row r="14" spans="1:4" x14ac:dyDescent="0.25">
      <c r="A14" s="18" t="s">
        <v>425</v>
      </c>
      <c r="B14" s="18" t="s">
        <v>426</v>
      </c>
      <c r="C14" s="18" t="s">
        <v>71</v>
      </c>
      <c r="D14" s="18" t="s">
        <v>427</v>
      </c>
    </row>
    <row r="15" spans="1:4" x14ac:dyDescent="0.25">
      <c r="A15" s="18" t="s">
        <v>428</v>
      </c>
      <c r="B15" s="18" t="s">
        <v>429</v>
      </c>
      <c r="C15" s="18" t="s">
        <v>407</v>
      </c>
      <c r="D15" s="18" t="s">
        <v>430</v>
      </c>
    </row>
    <row r="16" spans="1:4" x14ac:dyDescent="0.25">
      <c r="A16" s="18" t="s">
        <v>431</v>
      </c>
      <c r="B16" s="18" t="s">
        <v>432</v>
      </c>
      <c r="C16" s="18" t="s">
        <v>407</v>
      </c>
      <c r="D16" s="18" t="s">
        <v>433</v>
      </c>
    </row>
    <row r="17" spans="1:4" x14ac:dyDescent="0.25">
      <c r="A17" s="18" t="s">
        <v>434</v>
      </c>
      <c r="B17" s="18" t="s">
        <v>435</v>
      </c>
      <c r="C17" s="18" t="s">
        <v>407</v>
      </c>
      <c r="D17" s="18" t="s">
        <v>436</v>
      </c>
    </row>
    <row r="18" spans="1:4" x14ac:dyDescent="0.25">
      <c r="A18" s="18" t="s">
        <v>437</v>
      </c>
      <c r="B18" s="18" t="s">
        <v>438</v>
      </c>
      <c r="C18" s="18" t="s">
        <v>407</v>
      </c>
      <c r="D18" s="18" t="s">
        <v>439</v>
      </c>
    </row>
    <row r="19" spans="1:4" x14ac:dyDescent="0.25">
      <c r="A19" s="18" t="s">
        <v>440</v>
      </c>
      <c r="B19" s="18" t="s">
        <v>441</v>
      </c>
      <c r="C19" s="18" t="s">
        <v>407</v>
      </c>
      <c r="D19" s="18" t="s">
        <v>442</v>
      </c>
    </row>
    <row r="20" spans="1:4" x14ac:dyDescent="0.25">
      <c r="A20" s="18" t="s">
        <v>443</v>
      </c>
      <c r="B20" s="18" t="s">
        <v>444</v>
      </c>
      <c r="C20" s="18" t="s">
        <v>407</v>
      </c>
      <c r="D20" s="18" t="s">
        <v>445</v>
      </c>
    </row>
    <row r="21" spans="1:4" x14ac:dyDescent="0.25">
      <c r="A21" s="18" t="s">
        <v>446</v>
      </c>
      <c r="B21" s="18" t="s">
        <v>447</v>
      </c>
      <c r="C21" s="18" t="s">
        <v>407</v>
      </c>
      <c r="D21" s="18" t="s">
        <v>448</v>
      </c>
    </row>
    <row r="22" spans="1:4" x14ac:dyDescent="0.25">
      <c r="A22" s="18" t="s">
        <v>449</v>
      </c>
      <c r="B22" s="18" t="s">
        <v>450</v>
      </c>
      <c r="C22" s="18" t="s">
        <v>407</v>
      </c>
      <c r="D22" s="18" t="s">
        <v>451</v>
      </c>
    </row>
    <row r="23" spans="1:4" x14ac:dyDescent="0.25">
      <c r="A23" s="18" t="s">
        <v>452</v>
      </c>
      <c r="B23" s="18" t="s">
        <v>453</v>
      </c>
      <c r="C23" s="18" t="s">
        <v>407</v>
      </c>
      <c r="D23" s="18" t="s">
        <v>454</v>
      </c>
    </row>
    <row r="24" spans="1:4" x14ac:dyDescent="0.25">
      <c r="A24" s="18" t="s">
        <v>455</v>
      </c>
      <c r="B24" s="18" t="s">
        <v>456</v>
      </c>
      <c r="C24" s="18" t="s">
        <v>407</v>
      </c>
      <c r="D24" s="18" t="s">
        <v>457</v>
      </c>
    </row>
    <row r="25" spans="1:4" x14ac:dyDescent="0.25">
      <c r="A25" s="18" t="s">
        <v>458</v>
      </c>
      <c r="B25" s="18" t="s">
        <v>459</v>
      </c>
      <c r="C25" s="18" t="s">
        <v>407</v>
      </c>
      <c r="D25" s="18" t="s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7" customWidth="1"/>
    <col min="4" max="8" width="6" customWidth="1"/>
    <col min="10" max="12" width="7" customWidth="1"/>
    <col min="13" max="13" width="11" customWidth="1"/>
    <col min="14" max="16" width="14" customWidth="1"/>
  </cols>
  <sheetData>
    <row r="1" spans="1:1" x14ac:dyDescent="0.25">
      <c r="A1" s="1" t="s">
        <v>461</v>
      </c>
    </row>
    <row r="2" spans="1:1" x14ac:dyDescent="0.25">
      <c r="A2" s="2" t="s">
        <v>462</v>
      </c>
    </row>
    <row r="4" spans="1:16" x14ac:dyDescent="0.25">
      <c r="A4" s="7" t="s">
        <v>463</v>
      </c>
      <c r="B4" s="7" t="s">
        <v>464</v>
      </c>
      <c r="C4" s="7" t="s">
        <v>465</v>
      </c>
      <c r="D4" s="7" t="s">
        <v>466</v>
      </c>
      <c r="E4" s="7" t="s">
        <v>467</v>
      </c>
      <c r="F4" s="7" t="s">
        <v>468</v>
      </c>
      <c r="G4" s="7" t="s">
        <v>469</v>
      </c>
      <c r="H4" s="7" t="s">
        <v>470</v>
      </c>
      <c r="I4" s="7" t="s">
        <v>471</v>
      </c>
      <c r="J4" s="7" t="s">
        <v>472</v>
      </c>
      <c r="K4" s="7" t="s">
        <v>473</v>
      </c>
      <c r="L4" s="7" t="s">
        <v>474</v>
      </c>
      <c r="M4" s="7" t="s">
        <v>475</v>
      </c>
      <c r="N4" s="7" t="s">
        <v>476</v>
      </c>
      <c r="O4" s="7" t="s">
        <v>477</v>
      </c>
      <c r="P4" s="7" t="s">
        <v>478</v>
      </c>
    </row>
    <row r="5" spans="1:16" x14ac:dyDescent="0.25">
      <c r="A5" s="23"/>
      <c r="B5" s="23"/>
      <c r="C5" s="23"/>
      <c r="D5" s="23"/>
      <c r="E5" s="23"/>
      <c r="F5" s="23"/>
      <c r="G5" s="23"/>
      <c r="H5" s="23"/>
      <c r="I5" s="24" t="str">
        <f>IF(COUNT(D5:H5)=0,"",MEDIAN(D5:H5))</f>
        <v/>
      </c>
      <c r="J5" s="24" t="str">
        <f>IF(COUNT(D5:H5)=0,"",QUARTILE(D5:H5,1))</f>
        <v/>
      </c>
      <c r="K5" s="24" t="str">
        <f>IF(COUNT(D5:H5)=0,"",QUARTILE(D5:H5,3))</f>
        <v/>
      </c>
      <c r="L5" s="24" t="str">
        <f>IF(COUNT(D5:H5)=0,"",K5-J5)</f>
        <v/>
      </c>
      <c r="M5" s="25" t="str">
        <f>IF(L5="","",IF(L5&lt;=1,"Sí","No"))</f>
        <v/>
      </c>
      <c r="N5" s="25" t="str">
        <f>IF(OR(I5="",B5=""),"",IF(B5="Probabilidad",INDEX(Listas!$A$2:$A$6,ROUND(I5,0)),INDEX(Listas!$B$2:$B$6,ROUND(I5,0))))</f>
        <v/>
      </c>
      <c r="O5" s="24" t="str">
        <f>IF(COUNT(D5:H5)&lt;5,"",IFERROR(SUMPRODUCT(D5:H5,Brier!$C$17:$G$17)/SUM(Brier!$C$17:$G$17),""))</f>
        <v/>
      </c>
      <c r="P5" s="25" t="str">
        <f>IF(OR(O5="",B5=""),"",IF(B5="Probabilidad",INDEX(Listas!$A$2:$A$6,ROUND(O5,0)),INDEX(Listas!$B$2:$B$6,ROUND(O5,0))))</f>
        <v/>
      </c>
    </row>
    <row r="6" spans="1:16" x14ac:dyDescent="0.25">
      <c r="A6" s="23"/>
      <c r="B6" s="23"/>
      <c r="C6" s="23"/>
      <c r="D6" s="23"/>
      <c r="E6" s="23"/>
      <c r="F6" s="23"/>
      <c r="G6" s="23"/>
      <c r="H6" s="23"/>
      <c r="I6" s="24" t="str">
        <f>IF(COUNT(D6:H6)=0,"",MEDIAN(D6:H6))</f>
        <v/>
      </c>
      <c r="J6" s="24" t="str">
        <f>IF(COUNT(D6:H6)=0,"",QUARTILE(D6:H6,1))</f>
        <v/>
      </c>
      <c r="K6" s="24" t="str">
        <f>IF(COUNT(D6:H6)=0,"",QUARTILE(D6:H6,3))</f>
        <v/>
      </c>
      <c r="L6" s="24" t="str">
        <f>IF(COUNT(D6:H6)=0,"",K6-J6)</f>
        <v/>
      </c>
      <c r="M6" s="25" t="str">
        <f>IF(L6="","",IF(L6&lt;=1,"Sí","No"))</f>
        <v/>
      </c>
      <c r="N6" s="25" t="str">
        <f>IF(OR(I6="",B6=""),"",IF(B6="Probabilidad",INDEX(Listas!$A$2:$A$6,ROUND(I6,0)),INDEX(Listas!$B$2:$B$6,ROUND(I6,0))))</f>
        <v/>
      </c>
      <c r="O6" s="24" t="str">
        <f>IF(COUNT(D6:H6)&lt;5,"",IFERROR(SUMPRODUCT(D6:H6,Brier!$C$17:$G$17)/SUM(Brier!$C$17:$G$17),""))</f>
        <v/>
      </c>
      <c r="P6" s="25" t="str">
        <f>IF(OR(O6="",B6=""),"",IF(B6="Probabilidad",INDEX(Listas!$A$2:$A$6,ROUND(O6,0)),INDEX(Listas!$B$2:$B$6,ROUND(O6,0))))</f>
        <v/>
      </c>
    </row>
    <row r="7" spans="1:16" x14ac:dyDescent="0.25">
      <c r="A7" s="23"/>
      <c r="B7" s="23"/>
      <c r="C7" s="23"/>
      <c r="D7" s="23"/>
      <c r="E7" s="23"/>
      <c r="F7" s="23"/>
      <c r="G7" s="23"/>
      <c r="H7" s="23"/>
      <c r="I7" s="24" t="str">
        <f>IF(COUNT(D7:H7)=0,"",MEDIAN(D7:H7))</f>
        <v/>
      </c>
      <c r="J7" s="24" t="str">
        <f>IF(COUNT(D7:H7)=0,"",QUARTILE(D7:H7,1))</f>
        <v/>
      </c>
      <c r="K7" s="24" t="str">
        <f>IF(COUNT(D7:H7)=0,"",QUARTILE(D7:H7,3))</f>
        <v/>
      </c>
      <c r="L7" s="24" t="str">
        <f>IF(COUNT(D7:H7)=0,"",K7-J7)</f>
        <v/>
      </c>
      <c r="M7" s="25" t="str">
        <f>IF(L7="","",IF(L7&lt;=1,"Sí","No"))</f>
        <v/>
      </c>
      <c r="N7" s="25" t="str">
        <f>IF(OR(I7="",B7=""),"",IF(B7="Probabilidad",INDEX(Listas!$A$2:$A$6,ROUND(I7,0)),INDEX(Listas!$B$2:$B$6,ROUND(I7,0))))</f>
        <v/>
      </c>
      <c r="O7" s="24" t="str">
        <f>IF(COUNT(D7:H7)&lt;5,"",IFERROR(SUMPRODUCT(D7:H7,Brier!$C$17:$G$17)/SUM(Brier!$C$17:$G$17),""))</f>
        <v/>
      </c>
      <c r="P7" s="25" t="str">
        <f>IF(OR(O7="",B7=""),"",IF(B7="Probabilidad",INDEX(Listas!$A$2:$A$6,ROUND(O7,0)),INDEX(Listas!$B$2:$B$6,ROUND(O7,0))))</f>
        <v/>
      </c>
    </row>
    <row r="8" spans="1:16" x14ac:dyDescent="0.25">
      <c r="A8" s="23"/>
      <c r="B8" s="23"/>
      <c r="C8" s="23"/>
      <c r="D8" s="23"/>
      <c r="E8" s="23"/>
      <c r="F8" s="23"/>
      <c r="G8" s="23"/>
      <c r="H8" s="23"/>
      <c r="I8" s="24" t="str">
        <f>IF(COUNT(D8:H8)=0,"",MEDIAN(D8:H8))</f>
        <v/>
      </c>
      <c r="J8" s="24" t="str">
        <f>IF(COUNT(D8:H8)=0,"",QUARTILE(D8:H8,1))</f>
        <v/>
      </c>
      <c r="K8" s="24" t="str">
        <f>IF(COUNT(D8:H8)=0,"",QUARTILE(D8:H8,3))</f>
        <v/>
      </c>
      <c r="L8" s="24" t="str">
        <f>IF(COUNT(D8:H8)=0,"",K8-J8)</f>
        <v/>
      </c>
      <c r="M8" s="25" t="str">
        <f>IF(L8="","",IF(L8&lt;=1,"Sí","No"))</f>
        <v/>
      </c>
      <c r="N8" s="25" t="str">
        <f>IF(OR(I8="",B8=""),"",IF(B8="Probabilidad",INDEX(Listas!$A$2:$A$6,ROUND(I8,0)),INDEX(Listas!$B$2:$B$6,ROUND(I8,0))))</f>
        <v/>
      </c>
      <c r="O8" s="24" t="str">
        <f>IF(COUNT(D8:H8)&lt;5,"",IFERROR(SUMPRODUCT(D8:H8,Brier!$C$17:$G$17)/SUM(Brier!$C$17:$G$17),""))</f>
        <v/>
      </c>
      <c r="P8" s="25" t="str">
        <f>IF(OR(O8="",B8=""),"",IF(B8="Probabilidad",INDEX(Listas!$A$2:$A$6,ROUND(O8,0)),INDEX(Listas!$B$2:$B$6,ROUND(O8,0))))</f>
        <v/>
      </c>
    </row>
    <row r="9" spans="1:16" x14ac:dyDescent="0.25">
      <c r="A9" s="23"/>
      <c r="B9" s="23"/>
      <c r="C9" s="23"/>
      <c r="D9" s="23"/>
      <c r="E9" s="23"/>
      <c r="F9" s="23"/>
      <c r="G9" s="23"/>
      <c r="H9" s="23"/>
      <c r="I9" s="24" t="str">
        <f>IF(COUNT(D9:H9)=0,"",MEDIAN(D9:H9))</f>
        <v/>
      </c>
      <c r="J9" s="24" t="str">
        <f>IF(COUNT(D9:H9)=0,"",QUARTILE(D9:H9,1))</f>
        <v/>
      </c>
      <c r="K9" s="24" t="str">
        <f>IF(COUNT(D9:H9)=0,"",QUARTILE(D9:H9,3))</f>
        <v/>
      </c>
      <c r="L9" s="24" t="str">
        <f>IF(COUNT(D9:H9)=0,"",K9-J9)</f>
        <v/>
      </c>
      <c r="M9" s="25" t="str">
        <f>IF(L9="","",IF(L9&lt;=1,"Sí","No"))</f>
        <v/>
      </c>
      <c r="N9" s="25" t="str">
        <f>IF(OR(I9="",B9=""),"",IF(B9="Probabilidad",INDEX(Listas!$A$2:$A$6,ROUND(I9,0)),INDEX(Listas!$B$2:$B$6,ROUND(I9,0))))</f>
        <v/>
      </c>
      <c r="O9" s="24" t="str">
        <f>IF(COUNT(D9:H9)&lt;5,"",IFERROR(SUMPRODUCT(D9:H9,Brier!$C$17:$G$17)/SUM(Brier!$C$17:$G$17),""))</f>
        <v/>
      </c>
      <c r="P9" s="25" t="str">
        <f>IF(OR(O9="",B9=""),"",IF(B9="Probabilidad",INDEX(Listas!$A$2:$A$6,ROUND(O9,0)),INDEX(Listas!$B$2:$B$6,ROUND(O9,0))))</f>
        <v/>
      </c>
    </row>
    <row r="10" spans="1:16" x14ac:dyDescent="0.25">
      <c r="A10" s="23"/>
      <c r="B10" s="23"/>
      <c r="C10" s="23"/>
      <c r="D10" s="23"/>
      <c r="E10" s="23"/>
      <c r="F10" s="23"/>
      <c r="G10" s="23"/>
      <c r="H10" s="23"/>
      <c r="I10" s="24" t="str">
        <f>IF(COUNT(D10:H10)=0,"",MEDIAN(D10:H10))</f>
        <v/>
      </c>
      <c r="J10" s="24" t="str">
        <f>IF(COUNT(D10:H10)=0,"",QUARTILE(D10:H10,1))</f>
        <v/>
      </c>
      <c r="K10" s="24" t="str">
        <f>IF(COUNT(D10:H10)=0,"",QUARTILE(D10:H10,3))</f>
        <v/>
      </c>
      <c r="L10" s="24" t="str">
        <f>IF(COUNT(D10:H10)=0,"",K10-J10)</f>
        <v/>
      </c>
      <c r="M10" s="25" t="str">
        <f>IF(L10="","",IF(L10&lt;=1,"Sí","No"))</f>
        <v/>
      </c>
      <c r="N10" s="25" t="str">
        <f>IF(OR(I10="",B10=""),"",IF(B10="Probabilidad",INDEX(Listas!$A$2:$A$6,ROUND(I10,0)),INDEX(Listas!$B$2:$B$6,ROUND(I10,0))))</f>
        <v/>
      </c>
      <c r="O10" s="24" t="str">
        <f>IF(COUNT(D10:H10)&lt;5,"",IFERROR(SUMPRODUCT(D10:H10,Brier!$C$17:$G$17)/SUM(Brier!$C$17:$G$17),""))</f>
        <v/>
      </c>
      <c r="P10" s="25" t="str">
        <f>IF(OR(O10="",B10=""),"",IF(B10="Probabilidad",INDEX(Listas!$A$2:$A$6,ROUND(O10,0)),INDEX(Listas!$B$2:$B$6,ROUND(O10,0))))</f>
        <v/>
      </c>
    </row>
    <row r="11" spans="1:16" x14ac:dyDescent="0.25">
      <c r="A11" s="23"/>
      <c r="B11" s="23"/>
      <c r="C11" s="23"/>
      <c r="D11" s="23"/>
      <c r="E11" s="23"/>
      <c r="F11" s="23"/>
      <c r="G11" s="23"/>
      <c r="H11" s="23"/>
      <c r="I11" s="24" t="str">
        <f>IF(COUNT(D11:H11)=0,"",MEDIAN(D11:H11))</f>
        <v/>
      </c>
      <c r="J11" s="24" t="str">
        <f>IF(COUNT(D11:H11)=0,"",QUARTILE(D11:H11,1))</f>
        <v/>
      </c>
      <c r="K11" s="24" t="str">
        <f>IF(COUNT(D11:H11)=0,"",QUARTILE(D11:H11,3))</f>
        <v/>
      </c>
      <c r="L11" s="24" t="str">
        <f>IF(COUNT(D11:H11)=0,"",K11-J11)</f>
        <v/>
      </c>
      <c r="M11" s="25" t="str">
        <f>IF(L11="","",IF(L11&lt;=1,"Sí","No"))</f>
        <v/>
      </c>
      <c r="N11" s="25" t="str">
        <f>IF(OR(I11="",B11=""),"",IF(B11="Probabilidad",INDEX(Listas!$A$2:$A$6,ROUND(I11,0)),INDEX(Listas!$B$2:$B$6,ROUND(I11,0))))</f>
        <v/>
      </c>
      <c r="O11" s="24" t="str">
        <f>IF(COUNT(D11:H11)&lt;5,"",IFERROR(SUMPRODUCT(D11:H11,Brier!$C$17:$G$17)/SUM(Brier!$C$17:$G$17),""))</f>
        <v/>
      </c>
      <c r="P11" s="25" t="str">
        <f>IF(OR(O11="",B11=""),"",IF(B11="Probabilidad",INDEX(Listas!$A$2:$A$6,ROUND(O11,0)),INDEX(Listas!$B$2:$B$6,ROUND(O11,0))))</f>
        <v/>
      </c>
    </row>
    <row r="12" spans="1:16" x14ac:dyDescent="0.25">
      <c r="A12" s="23"/>
      <c r="B12" s="23"/>
      <c r="C12" s="23"/>
      <c r="D12" s="23"/>
      <c r="E12" s="23"/>
      <c r="F12" s="23"/>
      <c r="G12" s="23"/>
      <c r="H12" s="23"/>
      <c r="I12" s="24" t="str">
        <f>IF(COUNT(D12:H12)=0,"",MEDIAN(D12:H12))</f>
        <v/>
      </c>
      <c r="J12" s="24" t="str">
        <f>IF(COUNT(D12:H12)=0,"",QUARTILE(D12:H12,1))</f>
        <v/>
      </c>
      <c r="K12" s="24" t="str">
        <f>IF(COUNT(D12:H12)=0,"",QUARTILE(D12:H12,3))</f>
        <v/>
      </c>
      <c r="L12" s="24" t="str">
        <f>IF(COUNT(D12:H12)=0,"",K12-J12)</f>
        <v/>
      </c>
      <c r="M12" s="25" t="str">
        <f>IF(L12="","",IF(L12&lt;=1,"Sí","No"))</f>
        <v/>
      </c>
      <c r="N12" s="25" t="str">
        <f>IF(OR(I12="",B12=""),"",IF(B12="Probabilidad",INDEX(Listas!$A$2:$A$6,ROUND(I12,0)),INDEX(Listas!$B$2:$B$6,ROUND(I12,0))))</f>
        <v/>
      </c>
      <c r="O12" s="24" t="str">
        <f>IF(COUNT(D12:H12)&lt;5,"",IFERROR(SUMPRODUCT(D12:H12,Brier!$C$17:$G$17)/SUM(Brier!$C$17:$G$17),""))</f>
        <v/>
      </c>
      <c r="P12" s="25" t="str">
        <f>IF(OR(O12="",B12=""),"",IF(B12="Probabilidad",INDEX(Listas!$A$2:$A$6,ROUND(O12,0)),INDEX(Listas!$B$2:$B$6,ROUND(O12,0))))</f>
        <v/>
      </c>
    </row>
    <row r="13" spans="1:16" x14ac:dyDescent="0.25">
      <c r="A13" s="23"/>
      <c r="B13" s="23"/>
      <c r="C13" s="23"/>
      <c r="D13" s="23"/>
      <c r="E13" s="23"/>
      <c r="F13" s="23"/>
      <c r="G13" s="23"/>
      <c r="H13" s="23"/>
      <c r="I13" s="24" t="str">
        <f>IF(COUNT(D13:H13)=0,"",MEDIAN(D13:H13))</f>
        <v/>
      </c>
      <c r="J13" s="24" t="str">
        <f>IF(COUNT(D13:H13)=0,"",QUARTILE(D13:H13,1))</f>
        <v/>
      </c>
      <c r="K13" s="24" t="str">
        <f>IF(COUNT(D13:H13)=0,"",QUARTILE(D13:H13,3))</f>
        <v/>
      </c>
      <c r="L13" s="24" t="str">
        <f>IF(COUNT(D13:H13)=0,"",K13-J13)</f>
        <v/>
      </c>
      <c r="M13" s="25" t="str">
        <f>IF(L13="","",IF(L13&lt;=1,"Sí","No"))</f>
        <v/>
      </c>
      <c r="N13" s="25" t="str">
        <f>IF(OR(I13="",B13=""),"",IF(B13="Probabilidad",INDEX(Listas!$A$2:$A$6,ROUND(I13,0)),INDEX(Listas!$B$2:$B$6,ROUND(I13,0))))</f>
        <v/>
      </c>
      <c r="O13" s="24" t="str">
        <f>IF(COUNT(D13:H13)&lt;5,"",IFERROR(SUMPRODUCT(D13:H13,Brier!$C$17:$G$17)/SUM(Brier!$C$17:$G$17),""))</f>
        <v/>
      </c>
      <c r="P13" s="25" t="str">
        <f>IF(OR(O13="",B13=""),"",IF(B13="Probabilidad",INDEX(Listas!$A$2:$A$6,ROUND(O13,0)),INDEX(Listas!$B$2:$B$6,ROUND(O13,0))))</f>
        <v/>
      </c>
    </row>
    <row r="14" spans="1:16" x14ac:dyDescent="0.25">
      <c r="A14" s="23"/>
      <c r="B14" s="23"/>
      <c r="C14" s="23"/>
      <c r="D14" s="23"/>
      <c r="E14" s="23"/>
      <c r="F14" s="23"/>
      <c r="G14" s="23"/>
      <c r="H14" s="23"/>
      <c r="I14" s="24" t="str">
        <f>IF(COUNT(D14:H14)=0,"",MEDIAN(D14:H14))</f>
        <v/>
      </c>
      <c r="J14" s="24" t="str">
        <f>IF(COUNT(D14:H14)=0,"",QUARTILE(D14:H14,1))</f>
        <v/>
      </c>
      <c r="K14" s="24" t="str">
        <f>IF(COUNT(D14:H14)=0,"",QUARTILE(D14:H14,3))</f>
        <v/>
      </c>
      <c r="L14" s="24" t="str">
        <f>IF(COUNT(D14:H14)=0,"",K14-J14)</f>
        <v/>
      </c>
      <c r="M14" s="25" t="str">
        <f>IF(L14="","",IF(L14&lt;=1,"Sí","No"))</f>
        <v/>
      </c>
      <c r="N14" s="25" t="str">
        <f>IF(OR(I14="",B14=""),"",IF(B14="Probabilidad",INDEX(Listas!$A$2:$A$6,ROUND(I14,0)),INDEX(Listas!$B$2:$B$6,ROUND(I14,0))))</f>
        <v/>
      </c>
      <c r="O14" s="24" t="str">
        <f>IF(COUNT(D14:H14)&lt;5,"",IFERROR(SUMPRODUCT(D14:H14,Brier!$C$17:$G$17)/SUM(Brier!$C$17:$G$17),""))</f>
        <v/>
      </c>
      <c r="P14" s="25" t="str">
        <f>IF(OR(O14="",B14=""),"",IF(B14="Probabilidad",INDEX(Listas!$A$2:$A$6,ROUND(O14,0)),INDEX(Listas!$B$2:$B$6,ROUND(O14,0))))</f>
        <v/>
      </c>
    </row>
    <row r="15" spans="1:16" x14ac:dyDescent="0.25">
      <c r="A15" s="23"/>
      <c r="B15" s="23"/>
      <c r="C15" s="23"/>
      <c r="D15" s="23"/>
      <c r="E15" s="23"/>
      <c r="F15" s="23"/>
      <c r="G15" s="23"/>
      <c r="H15" s="23"/>
      <c r="I15" s="24" t="str">
        <f>IF(COUNT(D15:H15)=0,"",MEDIAN(D15:H15))</f>
        <v/>
      </c>
      <c r="J15" s="24" t="str">
        <f>IF(COUNT(D15:H15)=0,"",QUARTILE(D15:H15,1))</f>
        <v/>
      </c>
      <c r="K15" s="24" t="str">
        <f>IF(COUNT(D15:H15)=0,"",QUARTILE(D15:H15,3))</f>
        <v/>
      </c>
      <c r="L15" s="24" t="str">
        <f>IF(COUNT(D15:H15)=0,"",K15-J15)</f>
        <v/>
      </c>
      <c r="M15" s="25" t="str">
        <f>IF(L15="","",IF(L15&lt;=1,"Sí","No"))</f>
        <v/>
      </c>
      <c r="N15" s="25" t="str">
        <f>IF(OR(I15="",B15=""),"",IF(B15="Probabilidad",INDEX(Listas!$A$2:$A$6,ROUND(I15,0)),INDEX(Listas!$B$2:$B$6,ROUND(I15,0))))</f>
        <v/>
      </c>
      <c r="O15" s="24" t="str">
        <f>IF(COUNT(D15:H15)&lt;5,"",IFERROR(SUMPRODUCT(D15:H15,Brier!$C$17:$G$17)/SUM(Brier!$C$17:$G$17),""))</f>
        <v/>
      </c>
      <c r="P15" s="25" t="str">
        <f>IF(OR(O15="",B15=""),"",IF(B15="Probabilidad",INDEX(Listas!$A$2:$A$6,ROUND(O15,0)),INDEX(Listas!$B$2:$B$6,ROUND(O15,0))))</f>
        <v/>
      </c>
    </row>
    <row r="16" spans="1:16" x14ac:dyDescent="0.25">
      <c r="A16" s="23"/>
      <c r="B16" s="23"/>
      <c r="C16" s="23"/>
      <c r="D16" s="23"/>
      <c r="E16" s="23"/>
      <c r="F16" s="23"/>
      <c r="G16" s="23"/>
      <c r="H16" s="23"/>
      <c r="I16" s="24" t="str">
        <f>IF(COUNT(D16:H16)=0,"",MEDIAN(D16:H16))</f>
        <v/>
      </c>
      <c r="J16" s="24" t="str">
        <f>IF(COUNT(D16:H16)=0,"",QUARTILE(D16:H16,1))</f>
        <v/>
      </c>
      <c r="K16" s="24" t="str">
        <f>IF(COUNT(D16:H16)=0,"",QUARTILE(D16:H16,3))</f>
        <v/>
      </c>
      <c r="L16" s="24" t="str">
        <f>IF(COUNT(D16:H16)=0,"",K16-J16)</f>
        <v/>
      </c>
      <c r="M16" s="25" t="str">
        <f>IF(L16="","",IF(L16&lt;=1,"Sí","No"))</f>
        <v/>
      </c>
      <c r="N16" s="25" t="str">
        <f>IF(OR(I16="",B16=""),"",IF(B16="Probabilidad",INDEX(Listas!$A$2:$A$6,ROUND(I16,0)),INDEX(Listas!$B$2:$B$6,ROUND(I16,0))))</f>
        <v/>
      </c>
      <c r="O16" s="24" t="str">
        <f>IF(COUNT(D16:H16)&lt;5,"",IFERROR(SUMPRODUCT(D16:H16,Brier!$C$17:$G$17)/SUM(Brier!$C$17:$G$17),""))</f>
        <v/>
      </c>
      <c r="P16" s="25" t="str">
        <f>IF(OR(O16="",B16=""),"",IF(B16="Probabilidad",INDEX(Listas!$A$2:$A$6,ROUND(O16,0)),INDEX(Listas!$B$2:$B$6,ROUND(O16,0))))</f>
        <v/>
      </c>
    </row>
    <row r="17" spans="1:16" x14ac:dyDescent="0.25">
      <c r="A17" s="23"/>
      <c r="B17" s="23"/>
      <c r="C17" s="23"/>
      <c r="D17" s="23"/>
      <c r="E17" s="23"/>
      <c r="F17" s="23"/>
      <c r="G17" s="23"/>
      <c r="H17" s="23"/>
      <c r="I17" s="24" t="str">
        <f>IF(COUNT(D17:H17)=0,"",MEDIAN(D17:H17))</f>
        <v/>
      </c>
      <c r="J17" s="24" t="str">
        <f>IF(COUNT(D17:H17)=0,"",QUARTILE(D17:H17,1))</f>
        <v/>
      </c>
      <c r="K17" s="24" t="str">
        <f>IF(COUNT(D17:H17)=0,"",QUARTILE(D17:H17,3))</f>
        <v/>
      </c>
      <c r="L17" s="24" t="str">
        <f>IF(COUNT(D17:H17)=0,"",K17-J17)</f>
        <v/>
      </c>
      <c r="M17" s="25" t="str">
        <f>IF(L17="","",IF(L17&lt;=1,"Sí","No"))</f>
        <v/>
      </c>
      <c r="N17" s="25" t="str">
        <f>IF(OR(I17="",B17=""),"",IF(B17="Probabilidad",INDEX(Listas!$A$2:$A$6,ROUND(I17,0)),INDEX(Listas!$B$2:$B$6,ROUND(I17,0))))</f>
        <v/>
      </c>
      <c r="O17" s="24" t="str">
        <f>IF(COUNT(D17:H17)&lt;5,"",IFERROR(SUMPRODUCT(D17:H17,Brier!$C$17:$G$17)/SUM(Brier!$C$17:$G$17),""))</f>
        <v/>
      </c>
      <c r="P17" s="25" t="str">
        <f>IF(OR(O17="",B17=""),"",IF(B17="Probabilidad",INDEX(Listas!$A$2:$A$6,ROUND(O17,0)),INDEX(Listas!$B$2:$B$6,ROUND(O17,0))))</f>
        <v/>
      </c>
    </row>
    <row r="18" spans="1:16" x14ac:dyDescent="0.25">
      <c r="A18" s="23"/>
      <c r="B18" s="23"/>
      <c r="C18" s="23"/>
      <c r="D18" s="23"/>
      <c r="E18" s="23"/>
      <c r="F18" s="23"/>
      <c r="G18" s="23"/>
      <c r="H18" s="23"/>
      <c r="I18" s="24" t="str">
        <f>IF(COUNT(D18:H18)=0,"",MEDIAN(D18:H18))</f>
        <v/>
      </c>
      <c r="J18" s="24" t="str">
        <f>IF(COUNT(D18:H18)=0,"",QUARTILE(D18:H18,1))</f>
        <v/>
      </c>
      <c r="K18" s="24" t="str">
        <f>IF(COUNT(D18:H18)=0,"",QUARTILE(D18:H18,3))</f>
        <v/>
      </c>
      <c r="L18" s="24" t="str">
        <f>IF(COUNT(D18:H18)=0,"",K18-J18)</f>
        <v/>
      </c>
      <c r="M18" s="25" t="str">
        <f>IF(L18="","",IF(L18&lt;=1,"Sí","No"))</f>
        <v/>
      </c>
      <c r="N18" s="25" t="str">
        <f>IF(OR(I18="",B18=""),"",IF(B18="Probabilidad",INDEX(Listas!$A$2:$A$6,ROUND(I18,0)),INDEX(Listas!$B$2:$B$6,ROUND(I18,0))))</f>
        <v/>
      </c>
      <c r="O18" s="24" t="str">
        <f>IF(COUNT(D18:H18)&lt;5,"",IFERROR(SUMPRODUCT(D18:H18,Brier!$C$17:$G$17)/SUM(Brier!$C$17:$G$17),""))</f>
        <v/>
      </c>
      <c r="P18" s="25" t="str">
        <f>IF(OR(O18="",B18=""),"",IF(B18="Probabilidad",INDEX(Listas!$A$2:$A$6,ROUND(O18,0)),INDEX(Listas!$B$2:$B$6,ROUND(O18,0))))</f>
        <v/>
      </c>
    </row>
    <row r="19" spans="1:16" x14ac:dyDescent="0.25">
      <c r="A19" s="23"/>
      <c r="B19" s="23"/>
      <c r="C19" s="23"/>
      <c r="D19" s="23"/>
      <c r="E19" s="23"/>
      <c r="F19" s="23"/>
      <c r="G19" s="23"/>
      <c r="H19" s="23"/>
      <c r="I19" s="24" t="str">
        <f>IF(COUNT(D19:H19)=0,"",MEDIAN(D19:H19))</f>
        <v/>
      </c>
      <c r="J19" s="24" t="str">
        <f>IF(COUNT(D19:H19)=0,"",QUARTILE(D19:H19,1))</f>
        <v/>
      </c>
      <c r="K19" s="24" t="str">
        <f>IF(COUNT(D19:H19)=0,"",QUARTILE(D19:H19,3))</f>
        <v/>
      </c>
      <c r="L19" s="24" t="str">
        <f>IF(COUNT(D19:H19)=0,"",K19-J19)</f>
        <v/>
      </c>
      <c r="M19" s="25" t="str">
        <f>IF(L19="","",IF(L19&lt;=1,"Sí","No"))</f>
        <v/>
      </c>
      <c r="N19" s="25" t="str">
        <f>IF(OR(I19="",B19=""),"",IF(B19="Probabilidad",INDEX(Listas!$A$2:$A$6,ROUND(I19,0)),INDEX(Listas!$B$2:$B$6,ROUND(I19,0))))</f>
        <v/>
      </c>
      <c r="O19" s="24" t="str">
        <f>IF(COUNT(D19:H19)&lt;5,"",IFERROR(SUMPRODUCT(D19:H19,Brier!$C$17:$G$17)/SUM(Brier!$C$17:$G$17),""))</f>
        <v/>
      </c>
      <c r="P19" s="25" t="str">
        <f>IF(OR(O19="",B19=""),"",IF(B19="Probabilidad",INDEX(Listas!$A$2:$A$6,ROUND(O19,0)),INDEX(Listas!$B$2:$B$6,ROUND(O19,0))))</f>
        <v/>
      </c>
    </row>
    <row r="20" spans="1:16" x14ac:dyDescent="0.25">
      <c r="A20" s="23"/>
      <c r="B20" s="23"/>
      <c r="C20" s="23"/>
      <c r="D20" s="23"/>
      <c r="E20" s="23"/>
      <c r="F20" s="23"/>
      <c r="G20" s="23"/>
      <c r="H20" s="23"/>
      <c r="I20" s="24" t="str">
        <f>IF(COUNT(D20:H20)=0,"",MEDIAN(D20:H20))</f>
        <v/>
      </c>
      <c r="J20" s="24" t="str">
        <f>IF(COUNT(D20:H20)=0,"",QUARTILE(D20:H20,1))</f>
        <v/>
      </c>
      <c r="K20" s="24" t="str">
        <f>IF(COUNT(D20:H20)=0,"",QUARTILE(D20:H20,3))</f>
        <v/>
      </c>
      <c r="L20" s="24" t="str">
        <f>IF(COUNT(D20:H20)=0,"",K20-J20)</f>
        <v/>
      </c>
      <c r="M20" s="25" t="str">
        <f>IF(L20="","",IF(L20&lt;=1,"Sí","No"))</f>
        <v/>
      </c>
      <c r="N20" s="25" t="str">
        <f>IF(OR(I20="",B20=""),"",IF(B20="Probabilidad",INDEX(Listas!$A$2:$A$6,ROUND(I20,0)),INDEX(Listas!$B$2:$B$6,ROUND(I20,0))))</f>
        <v/>
      </c>
      <c r="O20" s="24" t="str">
        <f>IF(COUNT(D20:H20)&lt;5,"",IFERROR(SUMPRODUCT(D20:H20,Brier!$C$17:$G$17)/SUM(Brier!$C$17:$G$17),""))</f>
        <v/>
      </c>
      <c r="P20" s="25" t="str">
        <f>IF(OR(O20="",B20=""),"",IF(B20="Probabilidad",INDEX(Listas!$A$2:$A$6,ROUND(O20,0)),INDEX(Listas!$B$2:$B$6,ROUND(O20,0))))</f>
        <v/>
      </c>
    </row>
    <row r="21" spans="1:16" x14ac:dyDescent="0.25">
      <c r="A21" s="23"/>
      <c r="B21" s="23"/>
      <c r="C21" s="23"/>
      <c r="D21" s="23"/>
      <c r="E21" s="23"/>
      <c r="F21" s="23"/>
      <c r="G21" s="23"/>
      <c r="H21" s="23"/>
      <c r="I21" s="24" t="str">
        <f>IF(COUNT(D21:H21)=0,"",MEDIAN(D21:H21))</f>
        <v/>
      </c>
      <c r="J21" s="24" t="str">
        <f>IF(COUNT(D21:H21)=0,"",QUARTILE(D21:H21,1))</f>
        <v/>
      </c>
      <c r="K21" s="24" t="str">
        <f>IF(COUNT(D21:H21)=0,"",QUARTILE(D21:H21,3))</f>
        <v/>
      </c>
      <c r="L21" s="24" t="str">
        <f>IF(COUNT(D21:H21)=0,"",K21-J21)</f>
        <v/>
      </c>
      <c r="M21" s="25" t="str">
        <f>IF(L21="","",IF(L21&lt;=1,"Sí","No"))</f>
        <v/>
      </c>
      <c r="N21" s="25" t="str">
        <f>IF(OR(I21="",B21=""),"",IF(B21="Probabilidad",INDEX(Listas!$A$2:$A$6,ROUND(I21,0)),INDEX(Listas!$B$2:$B$6,ROUND(I21,0))))</f>
        <v/>
      </c>
      <c r="O21" s="24" t="str">
        <f>IF(COUNT(D21:H21)&lt;5,"",IFERROR(SUMPRODUCT(D21:H21,Brier!$C$17:$G$17)/SUM(Brier!$C$17:$G$17),""))</f>
        <v/>
      </c>
      <c r="P21" s="25" t="str">
        <f>IF(OR(O21="",B21=""),"",IF(B21="Probabilidad",INDEX(Listas!$A$2:$A$6,ROUND(O21,0)),INDEX(Listas!$B$2:$B$6,ROUND(O21,0))))</f>
        <v/>
      </c>
    </row>
    <row r="22" spans="1:16" x14ac:dyDescent="0.25">
      <c r="A22" s="23"/>
      <c r="B22" s="23"/>
      <c r="C22" s="23"/>
      <c r="D22" s="23"/>
      <c r="E22" s="23"/>
      <c r="F22" s="23"/>
      <c r="G22" s="23"/>
      <c r="H22" s="23"/>
      <c r="I22" s="24" t="str">
        <f>IF(COUNT(D22:H22)=0,"",MEDIAN(D22:H22))</f>
        <v/>
      </c>
      <c r="J22" s="24" t="str">
        <f>IF(COUNT(D22:H22)=0,"",QUARTILE(D22:H22,1))</f>
        <v/>
      </c>
      <c r="K22" s="24" t="str">
        <f>IF(COUNT(D22:H22)=0,"",QUARTILE(D22:H22,3))</f>
        <v/>
      </c>
      <c r="L22" s="24" t="str">
        <f>IF(COUNT(D22:H22)=0,"",K22-J22)</f>
        <v/>
      </c>
      <c r="M22" s="25" t="str">
        <f>IF(L22="","",IF(L22&lt;=1,"Sí","No"))</f>
        <v/>
      </c>
      <c r="N22" s="25" t="str">
        <f>IF(OR(I22="",B22=""),"",IF(B22="Probabilidad",INDEX(Listas!$A$2:$A$6,ROUND(I22,0)),INDEX(Listas!$B$2:$B$6,ROUND(I22,0))))</f>
        <v/>
      </c>
      <c r="O22" s="24" t="str">
        <f>IF(COUNT(D22:H22)&lt;5,"",IFERROR(SUMPRODUCT(D22:H22,Brier!$C$17:$G$17)/SUM(Brier!$C$17:$G$17),""))</f>
        <v/>
      </c>
      <c r="P22" s="25" t="str">
        <f>IF(OR(O22="",B22=""),"",IF(B22="Probabilidad",INDEX(Listas!$A$2:$A$6,ROUND(O22,0)),INDEX(Listas!$B$2:$B$6,ROUND(O22,0))))</f>
        <v/>
      </c>
    </row>
    <row r="23" spans="1:16" x14ac:dyDescent="0.25">
      <c r="A23" s="23"/>
      <c r="B23" s="23"/>
      <c r="C23" s="23"/>
      <c r="D23" s="23"/>
      <c r="E23" s="23"/>
      <c r="F23" s="23"/>
      <c r="G23" s="23"/>
      <c r="H23" s="23"/>
      <c r="I23" s="24" t="str">
        <f>IF(COUNT(D23:H23)=0,"",MEDIAN(D23:H23))</f>
        <v/>
      </c>
      <c r="J23" s="24" t="str">
        <f>IF(COUNT(D23:H23)=0,"",QUARTILE(D23:H23,1))</f>
        <v/>
      </c>
      <c r="K23" s="24" t="str">
        <f>IF(COUNT(D23:H23)=0,"",QUARTILE(D23:H23,3))</f>
        <v/>
      </c>
      <c r="L23" s="24" t="str">
        <f>IF(COUNT(D23:H23)=0,"",K23-J23)</f>
        <v/>
      </c>
      <c r="M23" s="25" t="str">
        <f>IF(L23="","",IF(L23&lt;=1,"Sí","No"))</f>
        <v/>
      </c>
      <c r="N23" s="25" t="str">
        <f>IF(OR(I23="",B23=""),"",IF(B23="Probabilidad",INDEX(Listas!$A$2:$A$6,ROUND(I23,0)),INDEX(Listas!$B$2:$B$6,ROUND(I23,0))))</f>
        <v/>
      </c>
      <c r="O23" s="24" t="str">
        <f>IF(COUNT(D23:H23)&lt;5,"",IFERROR(SUMPRODUCT(D23:H23,Brier!$C$17:$G$17)/SUM(Brier!$C$17:$G$17),""))</f>
        <v/>
      </c>
      <c r="P23" s="25" t="str">
        <f>IF(OR(O23="",B23=""),"",IF(B23="Probabilidad",INDEX(Listas!$A$2:$A$6,ROUND(O23,0)),INDEX(Listas!$B$2:$B$6,ROUND(O23,0))))</f>
        <v/>
      </c>
    </row>
    <row r="24" spans="1:16" x14ac:dyDescent="0.25">
      <c r="A24" s="23"/>
      <c r="B24" s="23"/>
      <c r="C24" s="23"/>
      <c r="D24" s="23"/>
      <c r="E24" s="23"/>
      <c r="F24" s="23"/>
      <c r="G24" s="23"/>
      <c r="H24" s="23"/>
      <c r="I24" s="24" t="str">
        <f>IF(COUNT(D24:H24)=0,"",MEDIAN(D24:H24))</f>
        <v/>
      </c>
      <c r="J24" s="24" t="str">
        <f>IF(COUNT(D24:H24)=0,"",QUARTILE(D24:H24,1))</f>
        <v/>
      </c>
      <c r="K24" s="24" t="str">
        <f>IF(COUNT(D24:H24)=0,"",QUARTILE(D24:H24,3))</f>
        <v/>
      </c>
      <c r="L24" s="24" t="str">
        <f>IF(COUNT(D24:H24)=0,"",K24-J24)</f>
        <v/>
      </c>
      <c r="M24" s="25" t="str">
        <f>IF(L24="","",IF(L24&lt;=1,"Sí","No"))</f>
        <v/>
      </c>
      <c r="N24" s="25" t="str">
        <f>IF(OR(I24="",B24=""),"",IF(B24="Probabilidad",INDEX(Listas!$A$2:$A$6,ROUND(I24,0)),INDEX(Listas!$B$2:$B$6,ROUND(I24,0))))</f>
        <v/>
      </c>
      <c r="O24" s="24" t="str">
        <f>IF(COUNT(D24:H24)&lt;5,"",IFERROR(SUMPRODUCT(D24:H24,Brier!$C$17:$G$17)/SUM(Brier!$C$17:$G$17),""))</f>
        <v/>
      </c>
      <c r="P24" s="25" t="str">
        <f>IF(OR(O24="",B24=""),"",IF(B24="Probabilidad",INDEX(Listas!$A$2:$A$6,ROUND(O24,0)),INDEX(Listas!$B$2:$B$6,ROUND(O24,0))))</f>
        <v/>
      </c>
    </row>
    <row r="25" spans="1:16" x14ac:dyDescent="0.25">
      <c r="A25" s="23"/>
      <c r="B25" s="23"/>
      <c r="C25" s="23"/>
      <c r="D25" s="23"/>
      <c r="E25" s="23"/>
      <c r="F25" s="23"/>
      <c r="G25" s="23"/>
      <c r="H25" s="23"/>
      <c r="I25" s="24" t="str">
        <f>IF(COUNT(D25:H25)=0,"",MEDIAN(D25:H25))</f>
        <v/>
      </c>
      <c r="J25" s="24" t="str">
        <f>IF(COUNT(D25:H25)=0,"",QUARTILE(D25:H25,1))</f>
        <v/>
      </c>
      <c r="K25" s="24" t="str">
        <f>IF(COUNT(D25:H25)=0,"",QUARTILE(D25:H25,3))</f>
        <v/>
      </c>
      <c r="L25" s="24" t="str">
        <f>IF(COUNT(D25:H25)=0,"",K25-J25)</f>
        <v/>
      </c>
      <c r="M25" s="25" t="str">
        <f>IF(L25="","",IF(L25&lt;=1,"Sí","No"))</f>
        <v/>
      </c>
      <c r="N25" s="25" t="str">
        <f>IF(OR(I25="",B25=""),"",IF(B25="Probabilidad",INDEX(Listas!$A$2:$A$6,ROUND(I25,0)),INDEX(Listas!$B$2:$B$6,ROUND(I25,0))))</f>
        <v/>
      </c>
      <c r="O25" s="24" t="str">
        <f>IF(COUNT(D25:H25)&lt;5,"",IFERROR(SUMPRODUCT(D25:H25,Brier!$C$17:$G$17)/SUM(Brier!$C$17:$G$17),""))</f>
        <v/>
      </c>
      <c r="P25" s="25" t="str">
        <f>IF(OR(O25="",B25=""),"",IF(B25="Probabilidad",INDEX(Listas!$A$2:$A$6,ROUND(O25,0)),INDEX(Listas!$B$2:$B$6,ROUND(O25,0))))</f>
        <v/>
      </c>
    </row>
    <row r="26" spans="1:16" x14ac:dyDescent="0.25">
      <c r="A26" s="23"/>
      <c r="B26" s="23"/>
      <c r="C26" s="23"/>
      <c r="D26" s="23"/>
      <c r="E26" s="23"/>
      <c r="F26" s="23"/>
      <c r="G26" s="23"/>
      <c r="H26" s="23"/>
      <c r="I26" s="24" t="str">
        <f>IF(COUNT(D26:H26)=0,"",MEDIAN(D26:H26))</f>
        <v/>
      </c>
      <c r="J26" s="24" t="str">
        <f>IF(COUNT(D26:H26)=0,"",QUARTILE(D26:H26,1))</f>
        <v/>
      </c>
      <c r="K26" s="24" t="str">
        <f>IF(COUNT(D26:H26)=0,"",QUARTILE(D26:H26,3))</f>
        <v/>
      </c>
      <c r="L26" s="24" t="str">
        <f>IF(COUNT(D26:H26)=0,"",K26-J26)</f>
        <v/>
      </c>
      <c r="M26" s="25" t="str">
        <f>IF(L26="","",IF(L26&lt;=1,"Sí","No"))</f>
        <v/>
      </c>
      <c r="N26" s="25" t="str">
        <f>IF(OR(I26="",B26=""),"",IF(B26="Probabilidad",INDEX(Listas!$A$2:$A$6,ROUND(I26,0)),INDEX(Listas!$B$2:$B$6,ROUND(I26,0))))</f>
        <v/>
      </c>
      <c r="O26" s="24" t="str">
        <f>IF(COUNT(D26:H26)&lt;5,"",IFERROR(SUMPRODUCT(D26:H26,Brier!$C$17:$G$17)/SUM(Brier!$C$17:$G$17),""))</f>
        <v/>
      </c>
      <c r="P26" s="25" t="str">
        <f>IF(OR(O26="",B26=""),"",IF(B26="Probabilidad",INDEX(Listas!$A$2:$A$6,ROUND(O26,0)),INDEX(Listas!$B$2:$B$6,ROUND(O26,0))))</f>
        <v/>
      </c>
    </row>
    <row r="27" spans="1:16" x14ac:dyDescent="0.25">
      <c r="A27" s="23"/>
      <c r="B27" s="23"/>
      <c r="C27" s="23"/>
      <c r="D27" s="23"/>
      <c r="E27" s="23"/>
      <c r="F27" s="23"/>
      <c r="G27" s="23"/>
      <c r="H27" s="23"/>
      <c r="I27" s="24" t="str">
        <f>IF(COUNT(D27:H27)=0,"",MEDIAN(D27:H27))</f>
        <v/>
      </c>
      <c r="J27" s="24" t="str">
        <f>IF(COUNT(D27:H27)=0,"",QUARTILE(D27:H27,1))</f>
        <v/>
      </c>
      <c r="K27" s="24" t="str">
        <f>IF(COUNT(D27:H27)=0,"",QUARTILE(D27:H27,3))</f>
        <v/>
      </c>
      <c r="L27" s="24" t="str">
        <f>IF(COUNT(D27:H27)=0,"",K27-J27)</f>
        <v/>
      </c>
      <c r="M27" s="25" t="str">
        <f>IF(L27="","",IF(L27&lt;=1,"Sí","No"))</f>
        <v/>
      </c>
      <c r="N27" s="25" t="str">
        <f>IF(OR(I27="",B27=""),"",IF(B27="Probabilidad",INDEX(Listas!$A$2:$A$6,ROUND(I27,0)),INDEX(Listas!$B$2:$B$6,ROUND(I27,0))))</f>
        <v/>
      </c>
      <c r="O27" s="24" t="str">
        <f>IF(COUNT(D27:H27)&lt;5,"",IFERROR(SUMPRODUCT(D27:H27,Brier!$C$17:$G$17)/SUM(Brier!$C$17:$G$17),""))</f>
        <v/>
      </c>
      <c r="P27" s="25" t="str">
        <f>IF(OR(O27="",B27=""),"",IF(B27="Probabilidad",INDEX(Listas!$A$2:$A$6,ROUND(O27,0)),INDEX(Listas!$B$2:$B$6,ROUND(O27,0))))</f>
        <v/>
      </c>
    </row>
    <row r="28" spans="1:16" x14ac:dyDescent="0.25">
      <c r="A28" s="23"/>
      <c r="B28" s="23"/>
      <c r="C28" s="23"/>
      <c r="D28" s="23"/>
      <c r="E28" s="23"/>
      <c r="F28" s="23"/>
      <c r="G28" s="23"/>
      <c r="H28" s="23"/>
      <c r="I28" s="24" t="str">
        <f>IF(COUNT(D28:H28)=0,"",MEDIAN(D28:H28))</f>
        <v/>
      </c>
      <c r="J28" s="24" t="str">
        <f>IF(COUNT(D28:H28)=0,"",QUARTILE(D28:H28,1))</f>
        <v/>
      </c>
      <c r="K28" s="24" t="str">
        <f>IF(COUNT(D28:H28)=0,"",QUARTILE(D28:H28,3))</f>
        <v/>
      </c>
      <c r="L28" s="24" t="str">
        <f>IF(COUNT(D28:H28)=0,"",K28-J28)</f>
        <v/>
      </c>
      <c r="M28" s="25" t="str">
        <f>IF(L28="","",IF(L28&lt;=1,"Sí","No"))</f>
        <v/>
      </c>
      <c r="N28" s="25" t="str">
        <f>IF(OR(I28="",B28=""),"",IF(B28="Probabilidad",INDEX(Listas!$A$2:$A$6,ROUND(I28,0)),INDEX(Listas!$B$2:$B$6,ROUND(I28,0))))</f>
        <v/>
      </c>
      <c r="O28" s="24" t="str">
        <f>IF(COUNT(D28:H28)&lt;5,"",IFERROR(SUMPRODUCT(D28:H28,Brier!$C$17:$G$17)/SUM(Brier!$C$17:$G$17),""))</f>
        <v/>
      </c>
      <c r="P28" s="25" t="str">
        <f>IF(OR(O28="",B28=""),"",IF(B28="Probabilidad",INDEX(Listas!$A$2:$A$6,ROUND(O28,0)),INDEX(Listas!$B$2:$B$6,ROUND(O28,0))))</f>
        <v/>
      </c>
    </row>
    <row r="29" spans="1:16" x14ac:dyDescent="0.25">
      <c r="A29" s="23"/>
      <c r="B29" s="23"/>
      <c r="C29" s="23"/>
      <c r="D29" s="23"/>
      <c r="E29" s="23"/>
      <c r="F29" s="23"/>
      <c r="G29" s="23"/>
      <c r="H29" s="23"/>
      <c r="I29" s="24" t="str">
        <f>IF(COUNT(D29:H29)=0,"",MEDIAN(D29:H29))</f>
        <v/>
      </c>
      <c r="J29" s="24" t="str">
        <f>IF(COUNT(D29:H29)=0,"",QUARTILE(D29:H29,1))</f>
        <v/>
      </c>
      <c r="K29" s="24" t="str">
        <f>IF(COUNT(D29:H29)=0,"",QUARTILE(D29:H29,3))</f>
        <v/>
      </c>
      <c r="L29" s="24" t="str">
        <f>IF(COUNT(D29:H29)=0,"",K29-J29)</f>
        <v/>
      </c>
      <c r="M29" s="25" t="str">
        <f>IF(L29="","",IF(L29&lt;=1,"Sí","No"))</f>
        <v/>
      </c>
      <c r="N29" s="25" t="str">
        <f>IF(OR(I29="",B29=""),"",IF(B29="Probabilidad",INDEX(Listas!$A$2:$A$6,ROUND(I29,0)),INDEX(Listas!$B$2:$B$6,ROUND(I29,0))))</f>
        <v/>
      </c>
      <c r="O29" s="24" t="str">
        <f>IF(COUNT(D29:H29)&lt;5,"",IFERROR(SUMPRODUCT(D29:H29,Brier!$C$17:$G$17)/SUM(Brier!$C$17:$G$17),""))</f>
        <v/>
      </c>
      <c r="P29" s="25" t="str">
        <f>IF(OR(O29="",B29=""),"",IF(B29="Probabilidad",INDEX(Listas!$A$2:$A$6,ROUND(O29,0)),INDEX(Listas!$B$2:$B$6,ROUND(O29,0))))</f>
        <v/>
      </c>
    </row>
    <row r="30" spans="1:16" x14ac:dyDescent="0.25">
      <c r="A30" s="23"/>
      <c r="B30" s="23"/>
      <c r="C30" s="23"/>
      <c r="D30" s="23"/>
      <c r="E30" s="23"/>
      <c r="F30" s="23"/>
      <c r="G30" s="23"/>
      <c r="H30" s="23"/>
      <c r="I30" s="24" t="str">
        <f>IF(COUNT(D30:H30)=0,"",MEDIAN(D30:H30))</f>
        <v/>
      </c>
      <c r="J30" s="24" t="str">
        <f>IF(COUNT(D30:H30)=0,"",QUARTILE(D30:H30,1))</f>
        <v/>
      </c>
      <c r="K30" s="24" t="str">
        <f>IF(COUNT(D30:H30)=0,"",QUARTILE(D30:H30,3))</f>
        <v/>
      </c>
      <c r="L30" s="24" t="str">
        <f>IF(COUNT(D30:H30)=0,"",K30-J30)</f>
        <v/>
      </c>
      <c r="M30" s="25" t="str">
        <f>IF(L30="","",IF(L30&lt;=1,"Sí","No"))</f>
        <v/>
      </c>
      <c r="N30" s="25" t="str">
        <f>IF(OR(I30="",B30=""),"",IF(B30="Probabilidad",INDEX(Listas!$A$2:$A$6,ROUND(I30,0)),INDEX(Listas!$B$2:$B$6,ROUND(I30,0))))</f>
        <v/>
      </c>
      <c r="O30" s="24" t="str">
        <f>IF(COUNT(D30:H30)&lt;5,"",IFERROR(SUMPRODUCT(D30:H30,Brier!$C$17:$G$17)/SUM(Brier!$C$17:$G$17),""))</f>
        <v/>
      </c>
      <c r="P30" s="25" t="str">
        <f>IF(OR(O30="",B30=""),"",IF(B30="Probabilidad",INDEX(Listas!$A$2:$A$6,ROUND(O30,0)),INDEX(Listas!$B$2:$B$6,ROUND(O30,0))))</f>
        <v/>
      </c>
    </row>
    <row r="31" spans="1:16" x14ac:dyDescent="0.25">
      <c r="A31" s="23"/>
      <c r="B31" s="23"/>
      <c r="C31" s="23"/>
      <c r="D31" s="23"/>
      <c r="E31" s="23"/>
      <c r="F31" s="23"/>
      <c r="G31" s="23"/>
      <c r="H31" s="23"/>
      <c r="I31" s="24" t="str">
        <f>IF(COUNT(D31:H31)=0,"",MEDIAN(D31:H31))</f>
        <v/>
      </c>
      <c r="J31" s="24" t="str">
        <f>IF(COUNT(D31:H31)=0,"",QUARTILE(D31:H31,1))</f>
        <v/>
      </c>
      <c r="K31" s="24" t="str">
        <f>IF(COUNT(D31:H31)=0,"",QUARTILE(D31:H31,3))</f>
        <v/>
      </c>
      <c r="L31" s="24" t="str">
        <f>IF(COUNT(D31:H31)=0,"",K31-J31)</f>
        <v/>
      </c>
      <c r="M31" s="25" t="str">
        <f>IF(L31="","",IF(L31&lt;=1,"Sí","No"))</f>
        <v/>
      </c>
      <c r="N31" s="25" t="str">
        <f>IF(OR(I31="",B31=""),"",IF(B31="Probabilidad",INDEX(Listas!$A$2:$A$6,ROUND(I31,0)),INDEX(Listas!$B$2:$B$6,ROUND(I31,0))))</f>
        <v/>
      </c>
      <c r="O31" s="24" t="str">
        <f>IF(COUNT(D31:H31)&lt;5,"",IFERROR(SUMPRODUCT(D31:H31,Brier!$C$17:$G$17)/SUM(Brier!$C$17:$G$17),""))</f>
        <v/>
      </c>
      <c r="P31" s="25" t="str">
        <f>IF(OR(O31="",B31=""),"",IF(B31="Probabilidad",INDEX(Listas!$A$2:$A$6,ROUND(O31,0)),INDEX(Listas!$B$2:$B$6,ROUND(O31,0))))</f>
        <v/>
      </c>
    </row>
    <row r="32" spans="1:16" x14ac:dyDescent="0.25">
      <c r="A32" s="23"/>
      <c r="B32" s="23"/>
      <c r="C32" s="23"/>
      <c r="D32" s="23"/>
      <c r="E32" s="23"/>
      <c r="F32" s="23"/>
      <c r="G32" s="23"/>
      <c r="H32" s="23"/>
      <c r="I32" s="24" t="str">
        <f>IF(COUNT(D32:H32)=0,"",MEDIAN(D32:H32))</f>
        <v/>
      </c>
      <c r="J32" s="24" t="str">
        <f>IF(COUNT(D32:H32)=0,"",QUARTILE(D32:H32,1))</f>
        <v/>
      </c>
      <c r="K32" s="24" t="str">
        <f>IF(COUNT(D32:H32)=0,"",QUARTILE(D32:H32,3))</f>
        <v/>
      </c>
      <c r="L32" s="24" t="str">
        <f>IF(COUNT(D32:H32)=0,"",K32-J32)</f>
        <v/>
      </c>
      <c r="M32" s="25" t="str">
        <f>IF(L32="","",IF(L32&lt;=1,"Sí","No"))</f>
        <v/>
      </c>
      <c r="N32" s="25" t="str">
        <f>IF(OR(I32="",B32=""),"",IF(B32="Probabilidad",INDEX(Listas!$A$2:$A$6,ROUND(I32,0)),INDEX(Listas!$B$2:$B$6,ROUND(I32,0))))</f>
        <v/>
      </c>
      <c r="O32" s="24" t="str">
        <f>IF(COUNT(D32:H32)&lt;5,"",IFERROR(SUMPRODUCT(D32:H32,Brier!$C$17:$G$17)/SUM(Brier!$C$17:$G$17),""))</f>
        <v/>
      </c>
      <c r="P32" s="25" t="str">
        <f>IF(OR(O32="",B32=""),"",IF(B32="Probabilidad",INDEX(Listas!$A$2:$A$6,ROUND(O32,0)),INDEX(Listas!$B$2:$B$6,ROUND(O32,0))))</f>
        <v/>
      </c>
    </row>
    <row r="33" spans="1:16" x14ac:dyDescent="0.25">
      <c r="A33" s="23"/>
      <c r="B33" s="23"/>
      <c r="C33" s="23"/>
      <c r="D33" s="23"/>
      <c r="E33" s="23"/>
      <c r="F33" s="23"/>
      <c r="G33" s="23"/>
      <c r="H33" s="23"/>
      <c r="I33" s="24" t="str">
        <f>IF(COUNT(D33:H33)=0,"",MEDIAN(D33:H33))</f>
        <v/>
      </c>
      <c r="J33" s="24" t="str">
        <f>IF(COUNT(D33:H33)=0,"",QUARTILE(D33:H33,1))</f>
        <v/>
      </c>
      <c r="K33" s="24" t="str">
        <f>IF(COUNT(D33:H33)=0,"",QUARTILE(D33:H33,3))</f>
        <v/>
      </c>
      <c r="L33" s="24" t="str">
        <f>IF(COUNT(D33:H33)=0,"",K33-J33)</f>
        <v/>
      </c>
      <c r="M33" s="25" t="str">
        <f>IF(L33="","",IF(L33&lt;=1,"Sí","No"))</f>
        <v/>
      </c>
      <c r="N33" s="25" t="str">
        <f>IF(OR(I33="",B33=""),"",IF(B33="Probabilidad",INDEX(Listas!$A$2:$A$6,ROUND(I33,0)),INDEX(Listas!$B$2:$B$6,ROUND(I33,0))))</f>
        <v/>
      </c>
      <c r="O33" s="24" t="str">
        <f>IF(COUNT(D33:H33)&lt;5,"",IFERROR(SUMPRODUCT(D33:H33,Brier!$C$17:$G$17)/SUM(Brier!$C$17:$G$17),""))</f>
        <v/>
      </c>
      <c r="P33" s="25" t="str">
        <f>IF(OR(O33="",B33=""),"",IF(B33="Probabilidad",INDEX(Listas!$A$2:$A$6,ROUND(O33,0)),INDEX(Listas!$B$2:$B$6,ROUND(O33,0))))</f>
        <v/>
      </c>
    </row>
    <row r="34" spans="1:16" x14ac:dyDescent="0.25">
      <c r="A34" s="23"/>
      <c r="B34" s="23"/>
      <c r="C34" s="23"/>
      <c r="D34" s="23"/>
      <c r="E34" s="23"/>
      <c r="F34" s="23"/>
      <c r="G34" s="23"/>
      <c r="H34" s="23"/>
      <c r="I34" s="24" t="str">
        <f>IF(COUNT(D34:H34)=0,"",MEDIAN(D34:H34))</f>
        <v/>
      </c>
      <c r="J34" s="24" t="str">
        <f>IF(COUNT(D34:H34)=0,"",QUARTILE(D34:H34,1))</f>
        <v/>
      </c>
      <c r="K34" s="24" t="str">
        <f>IF(COUNT(D34:H34)=0,"",QUARTILE(D34:H34,3))</f>
        <v/>
      </c>
      <c r="L34" s="24" t="str">
        <f>IF(COUNT(D34:H34)=0,"",K34-J34)</f>
        <v/>
      </c>
      <c r="M34" s="25" t="str">
        <f>IF(L34="","",IF(L34&lt;=1,"Sí","No"))</f>
        <v/>
      </c>
      <c r="N34" s="25" t="str">
        <f>IF(OR(I34="",B34=""),"",IF(B34="Probabilidad",INDEX(Listas!$A$2:$A$6,ROUND(I34,0)),INDEX(Listas!$B$2:$B$6,ROUND(I34,0))))</f>
        <v/>
      </c>
      <c r="O34" s="24" t="str">
        <f>IF(COUNT(D34:H34)&lt;5,"",IFERROR(SUMPRODUCT(D34:H34,Brier!$C$17:$G$17)/SUM(Brier!$C$17:$G$17),""))</f>
        <v/>
      </c>
      <c r="P34" s="25" t="str">
        <f>IF(OR(O34="",B34=""),"",IF(B34="Probabilidad",INDEX(Listas!$A$2:$A$6,ROUND(O34,0)),INDEX(Listas!$B$2:$B$6,ROUND(O34,0))))</f>
        <v/>
      </c>
    </row>
    <row r="35" spans="1:16" x14ac:dyDescent="0.25">
      <c r="A35" s="23"/>
      <c r="B35" s="23"/>
      <c r="C35" s="23"/>
      <c r="D35" s="23"/>
      <c r="E35" s="23"/>
      <c r="F35" s="23"/>
      <c r="G35" s="23"/>
      <c r="H35" s="23"/>
      <c r="I35" s="24" t="str">
        <f>IF(COUNT(D35:H35)=0,"",MEDIAN(D35:H35))</f>
        <v/>
      </c>
      <c r="J35" s="24" t="str">
        <f>IF(COUNT(D35:H35)=0,"",QUARTILE(D35:H35,1))</f>
        <v/>
      </c>
      <c r="K35" s="24" t="str">
        <f>IF(COUNT(D35:H35)=0,"",QUARTILE(D35:H35,3))</f>
        <v/>
      </c>
      <c r="L35" s="24" t="str">
        <f>IF(COUNT(D35:H35)=0,"",K35-J35)</f>
        <v/>
      </c>
      <c r="M35" s="25" t="str">
        <f>IF(L35="","",IF(L35&lt;=1,"Sí","No"))</f>
        <v/>
      </c>
      <c r="N35" s="25" t="str">
        <f>IF(OR(I35="",B35=""),"",IF(B35="Probabilidad",INDEX(Listas!$A$2:$A$6,ROUND(I35,0)),INDEX(Listas!$B$2:$B$6,ROUND(I35,0))))</f>
        <v/>
      </c>
      <c r="O35" s="24" t="str">
        <f>IF(COUNT(D35:H35)&lt;5,"",IFERROR(SUMPRODUCT(D35:H35,Brier!$C$17:$G$17)/SUM(Brier!$C$17:$G$17),""))</f>
        <v/>
      </c>
      <c r="P35" s="25" t="str">
        <f>IF(OR(O35="",B35=""),"",IF(B35="Probabilidad",INDEX(Listas!$A$2:$A$6,ROUND(O35,0)),INDEX(Listas!$B$2:$B$6,ROUND(O35,0))))</f>
        <v/>
      </c>
    </row>
    <row r="36" spans="1:16" x14ac:dyDescent="0.25">
      <c r="A36" s="23"/>
      <c r="B36" s="23"/>
      <c r="C36" s="23"/>
      <c r="D36" s="23"/>
      <c r="E36" s="23"/>
      <c r="F36" s="23"/>
      <c r="G36" s="23"/>
      <c r="H36" s="23"/>
      <c r="I36" s="24" t="str">
        <f>IF(COUNT(D36:H36)=0,"",MEDIAN(D36:H36))</f>
        <v/>
      </c>
      <c r="J36" s="24" t="str">
        <f>IF(COUNT(D36:H36)=0,"",QUARTILE(D36:H36,1))</f>
        <v/>
      </c>
      <c r="K36" s="24" t="str">
        <f>IF(COUNT(D36:H36)=0,"",QUARTILE(D36:H36,3))</f>
        <v/>
      </c>
      <c r="L36" s="24" t="str">
        <f>IF(COUNT(D36:H36)=0,"",K36-J36)</f>
        <v/>
      </c>
      <c r="M36" s="25" t="str">
        <f>IF(L36="","",IF(L36&lt;=1,"Sí","No"))</f>
        <v/>
      </c>
      <c r="N36" s="25" t="str">
        <f>IF(OR(I36="",B36=""),"",IF(B36="Probabilidad",INDEX(Listas!$A$2:$A$6,ROUND(I36,0)),INDEX(Listas!$B$2:$B$6,ROUND(I36,0))))</f>
        <v/>
      </c>
      <c r="O36" s="24" t="str">
        <f>IF(COUNT(D36:H36)&lt;5,"",IFERROR(SUMPRODUCT(D36:H36,Brier!$C$17:$G$17)/SUM(Brier!$C$17:$G$17),""))</f>
        <v/>
      </c>
      <c r="P36" s="25" t="str">
        <f>IF(OR(O36="",B36=""),"",IF(B36="Probabilidad",INDEX(Listas!$A$2:$A$6,ROUND(O36,0)),INDEX(Listas!$B$2:$B$6,ROUND(O36,0))))</f>
        <v/>
      </c>
    </row>
    <row r="37" spans="1:16" x14ac:dyDescent="0.25">
      <c r="A37" s="23"/>
      <c r="B37" s="23"/>
      <c r="C37" s="23"/>
      <c r="D37" s="23"/>
      <c r="E37" s="23"/>
      <c r="F37" s="23"/>
      <c r="G37" s="23"/>
      <c r="H37" s="23"/>
      <c r="I37" s="24" t="str">
        <f>IF(COUNT(D37:H37)=0,"",MEDIAN(D37:H37))</f>
        <v/>
      </c>
      <c r="J37" s="24" t="str">
        <f>IF(COUNT(D37:H37)=0,"",QUARTILE(D37:H37,1))</f>
        <v/>
      </c>
      <c r="K37" s="24" t="str">
        <f>IF(COUNT(D37:H37)=0,"",QUARTILE(D37:H37,3))</f>
        <v/>
      </c>
      <c r="L37" s="24" t="str">
        <f>IF(COUNT(D37:H37)=0,"",K37-J37)</f>
        <v/>
      </c>
      <c r="M37" s="25" t="str">
        <f>IF(L37="","",IF(L37&lt;=1,"Sí","No"))</f>
        <v/>
      </c>
      <c r="N37" s="25" t="str">
        <f>IF(OR(I37="",B37=""),"",IF(B37="Probabilidad",INDEX(Listas!$A$2:$A$6,ROUND(I37,0)),INDEX(Listas!$B$2:$B$6,ROUND(I37,0))))</f>
        <v/>
      </c>
      <c r="O37" s="24" t="str">
        <f>IF(COUNT(D37:H37)&lt;5,"",IFERROR(SUMPRODUCT(D37:H37,Brier!$C$17:$G$17)/SUM(Brier!$C$17:$G$17),""))</f>
        <v/>
      </c>
      <c r="P37" s="25" t="str">
        <f>IF(OR(O37="",B37=""),"",IF(B37="Probabilidad",INDEX(Listas!$A$2:$A$6,ROUND(O37,0)),INDEX(Listas!$B$2:$B$6,ROUND(O37,0))))</f>
        <v/>
      </c>
    </row>
    <row r="38" spans="1:16" x14ac:dyDescent="0.25">
      <c r="A38" s="23"/>
      <c r="B38" s="23"/>
      <c r="C38" s="23"/>
      <c r="D38" s="23"/>
      <c r="E38" s="23"/>
      <c r="F38" s="23"/>
      <c r="G38" s="23"/>
      <c r="H38" s="23"/>
      <c r="I38" s="24" t="str">
        <f>IF(COUNT(D38:H38)=0,"",MEDIAN(D38:H38))</f>
        <v/>
      </c>
      <c r="J38" s="24" t="str">
        <f>IF(COUNT(D38:H38)=0,"",QUARTILE(D38:H38,1))</f>
        <v/>
      </c>
      <c r="K38" s="24" t="str">
        <f>IF(COUNT(D38:H38)=0,"",QUARTILE(D38:H38,3))</f>
        <v/>
      </c>
      <c r="L38" s="24" t="str">
        <f>IF(COUNT(D38:H38)=0,"",K38-J38)</f>
        <v/>
      </c>
      <c r="M38" s="25" t="str">
        <f>IF(L38="","",IF(L38&lt;=1,"Sí","No"))</f>
        <v/>
      </c>
      <c r="N38" s="25" t="str">
        <f>IF(OR(I38="",B38=""),"",IF(B38="Probabilidad",INDEX(Listas!$A$2:$A$6,ROUND(I38,0)),INDEX(Listas!$B$2:$B$6,ROUND(I38,0))))</f>
        <v/>
      </c>
      <c r="O38" s="24" t="str">
        <f>IF(COUNT(D38:H38)&lt;5,"",IFERROR(SUMPRODUCT(D38:H38,Brier!$C$17:$G$17)/SUM(Brier!$C$17:$G$17),""))</f>
        <v/>
      </c>
      <c r="P38" s="25" t="str">
        <f>IF(OR(O38="",B38=""),"",IF(B38="Probabilidad",INDEX(Listas!$A$2:$A$6,ROUND(O38,0)),INDEX(Listas!$B$2:$B$6,ROUND(O38,0))))</f>
        <v/>
      </c>
    </row>
    <row r="39" spans="1:16" x14ac:dyDescent="0.25">
      <c r="A39" s="23"/>
      <c r="B39" s="23"/>
      <c r="C39" s="23"/>
      <c r="D39" s="23"/>
      <c r="E39" s="23"/>
      <c r="F39" s="23"/>
      <c r="G39" s="23"/>
      <c r="H39" s="23"/>
      <c r="I39" s="24" t="str">
        <f>IF(COUNT(D39:H39)=0,"",MEDIAN(D39:H39))</f>
        <v/>
      </c>
      <c r="J39" s="24" t="str">
        <f>IF(COUNT(D39:H39)=0,"",QUARTILE(D39:H39,1))</f>
        <v/>
      </c>
      <c r="K39" s="24" t="str">
        <f>IF(COUNT(D39:H39)=0,"",QUARTILE(D39:H39,3))</f>
        <v/>
      </c>
      <c r="L39" s="24" t="str">
        <f>IF(COUNT(D39:H39)=0,"",K39-J39)</f>
        <v/>
      </c>
      <c r="M39" s="25" t="str">
        <f>IF(L39="","",IF(L39&lt;=1,"Sí","No"))</f>
        <v/>
      </c>
      <c r="N39" s="25" t="str">
        <f>IF(OR(I39="",B39=""),"",IF(B39="Probabilidad",INDEX(Listas!$A$2:$A$6,ROUND(I39,0)),INDEX(Listas!$B$2:$B$6,ROUND(I39,0))))</f>
        <v/>
      </c>
      <c r="O39" s="24" t="str">
        <f>IF(COUNT(D39:H39)&lt;5,"",IFERROR(SUMPRODUCT(D39:H39,Brier!$C$17:$G$17)/SUM(Brier!$C$17:$G$17),""))</f>
        <v/>
      </c>
      <c r="P39" s="25" t="str">
        <f>IF(OR(O39="",B39=""),"",IF(B39="Probabilidad",INDEX(Listas!$A$2:$A$6,ROUND(O39,0)),INDEX(Listas!$B$2:$B$6,ROUND(O39,0))))</f>
        <v/>
      </c>
    </row>
    <row r="40" spans="1:16" x14ac:dyDescent="0.25">
      <c r="A40" s="23"/>
      <c r="B40" s="23"/>
      <c r="C40" s="23"/>
      <c r="D40" s="23"/>
      <c r="E40" s="23"/>
      <c r="F40" s="23"/>
      <c r="G40" s="23"/>
      <c r="H40" s="23"/>
      <c r="I40" s="24" t="str">
        <f>IF(COUNT(D40:H40)=0,"",MEDIAN(D40:H40))</f>
        <v/>
      </c>
      <c r="J40" s="24" t="str">
        <f>IF(COUNT(D40:H40)=0,"",QUARTILE(D40:H40,1))</f>
        <v/>
      </c>
      <c r="K40" s="24" t="str">
        <f>IF(COUNT(D40:H40)=0,"",QUARTILE(D40:H40,3))</f>
        <v/>
      </c>
      <c r="L40" s="24" t="str">
        <f>IF(COUNT(D40:H40)=0,"",K40-J40)</f>
        <v/>
      </c>
      <c r="M40" s="25" t="str">
        <f>IF(L40="","",IF(L40&lt;=1,"Sí","No"))</f>
        <v/>
      </c>
      <c r="N40" s="25" t="str">
        <f>IF(OR(I40="",B40=""),"",IF(B40="Probabilidad",INDEX(Listas!$A$2:$A$6,ROUND(I40,0)),INDEX(Listas!$B$2:$B$6,ROUND(I40,0))))</f>
        <v/>
      </c>
      <c r="O40" s="24" t="str">
        <f>IF(COUNT(D40:H40)&lt;5,"",IFERROR(SUMPRODUCT(D40:H40,Brier!$C$17:$G$17)/SUM(Brier!$C$17:$G$17),""))</f>
        <v/>
      </c>
      <c r="P40" s="25" t="str">
        <f>IF(OR(O40="",B40=""),"",IF(B40="Probabilidad",INDEX(Listas!$A$2:$A$6,ROUND(O40,0)),INDEX(Listas!$B$2:$B$6,ROUND(O40,0))))</f>
        <v/>
      </c>
    </row>
    <row r="41" spans="1:16" x14ac:dyDescent="0.25">
      <c r="A41" s="23"/>
      <c r="B41" s="23"/>
      <c r="C41" s="23"/>
      <c r="D41" s="23"/>
      <c r="E41" s="23"/>
      <c r="F41" s="23"/>
      <c r="G41" s="23"/>
      <c r="H41" s="23"/>
      <c r="I41" s="24" t="str">
        <f>IF(COUNT(D41:H41)=0,"",MEDIAN(D41:H41))</f>
        <v/>
      </c>
      <c r="J41" s="24" t="str">
        <f>IF(COUNT(D41:H41)=0,"",QUARTILE(D41:H41,1))</f>
        <v/>
      </c>
      <c r="K41" s="24" t="str">
        <f>IF(COUNT(D41:H41)=0,"",QUARTILE(D41:H41,3))</f>
        <v/>
      </c>
      <c r="L41" s="24" t="str">
        <f>IF(COUNT(D41:H41)=0,"",K41-J41)</f>
        <v/>
      </c>
      <c r="M41" s="25" t="str">
        <f>IF(L41="","",IF(L41&lt;=1,"Sí","No"))</f>
        <v/>
      </c>
      <c r="N41" s="25" t="str">
        <f>IF(OR(I41="",B41=""),"",IF(B41="Probabilidad",INDEX(Listas!$A$2:$A$6,ROUND(I41,0)),INDEX(Listas!$B$2:$B$6,ROUND(I41,0))))</f>
        <v/>
      </c>
      <c r="O41" s="24" t="str">
        <f>IF(COUNT(D41:H41)&lt;5,"",IFERROR(SUMPRODUCT(D41:H41,Brier!$C$17:$G$17)/SUM(Brier!$C$17:$G$17),""))</f>
        <v/>
      </c>
      <c r="P41" s="25" t="str">
        <f>IF(OR(O41="",B41=""),"",IF(B41="Probabilidad",INDEX(Listas!$A$2:$A$6,ROUND(O41,0)),INDEX(Listas!$B$2:$B$6,ROUND(O41,0))))</f>
        <v/>
      </c>
    </row>
    <row r="42" spans="1:16" x14ac:dyDescent="0.25">
      <c r="A42" s="23"/>
      <c r="B42" s="23"/>
      <c r="C42" s="23"/>
      <c r="D42" s="23"/>
      <c r="E42" s="23"/>
      <c r="F42" s="23"/>
      <c r="G42" s="23"/>
      <c r="H42" s="23"/>
      <c r="I42" s="24" t="str">
        <f>IF(COUNT(D42:H42)=0,"",MEDIAN(D42:H42))</f>
        <v/>
      </c>
      <c r="J42" s="24" t="str">
        <f>IF(COUNT(D42:H42)=0,"",QUARTILE(D42:H42,1))</f>
        <v/>
      </c>
      <c r="K42" s="24" t="str">
        <f>IF(COUNT(D42:H42)=0,"",QUARTILE(D42:H42,3))</f>
        <v/>
      </c>
      <c r="L42" s="24" t="str">
        <f>IF(COUNT(D42:H42)=0,"",K42-J42)</f>
        <v/>
      </c>
      <c r="M42" s="25" t="str">
        <f>IF(L42="","",IF(L42&lt;=1,"Sí","No"))</f>
        <v/>
      </c>
      <c r="N42" s="25" t="str">
        <f>IF(OR(I42="",B42=""),"",IF(B42="Probabilidad",INDEX(Listas!$A$2:$A$6,ROUND(I42,0)),INDEX(Listas!$B$2:$B$6,ROUND(I42,0))))</f>
        <v/>
      </c>
      <c r="O42" s="24" t="str">
        <f>IF(COUNT(D42:H42)&lt;5,"",IFERROR(SUMPRODUCT(D42:H42,Brier!$C$17:$G$17)/SUM(Brier!$C$17:$G$17),""))</f>
        <v/>
      </c>
      <c r="P42" s="25" t="str">
        <f>IF(OR(O42="",B42=""),"",IF(B42="Probabilidad",INDEX(Listas!$A$2:$A$6,ROUND(O42,0)),INDEX(Listas!$B$2:$B$6,ROUND(O42,0))))</f>
        <v/>
      </c>
    </row>
    <row r="43" spans="1:16" x14ac:dyDescent="0.25">
      <c r="A43" s="23"/>
      <c r="B43" s="23"/>
      <c r="C43" s="23"/>
      <c r="D43" s="23"/>
      <c r="E43" s="23"/>
      <c r="F43" s="23"/>
      <c r="G43" s="23"/>
      <c r="H43" s="23"/>
      <c r="I43" s="24" t="str">
        <f>IF(COUNT(D43:H43)=0,"",MEDIAN(D43:H43))</f>
        <v/>
      </c>
      <c r="J43" s="24" t="str">
        <f>IF(COUNT(D43:H43)=0,"",QUARTILE(D43:H43,1))</f>
        <v/>
      </c>
      <c r="K43" s="24" t="str">
        <f>IF(COUNT(D43:H43)=0,"",QUARTILE(D43:H43,3))</f>
        <v/>
      </c>
      <c r="L43" s="24" t="str">
        <f>IF(COUNT(D43:H43)=0,"",K43-J43)</f>
        <v/>
      </c>
      <c r="M43" s="25" t="str">
        <f>IF(L43="","",IF(L43&lt;=1,"Sí","No"))</f>
        <v/>
      </c>
      <c r="N43" s="25" t="str">
        <f>IF(OR(I43="",B43=""),"",IF(B43="Probabilidad",INDEX(Listas!$A$2:$A$6,ROUND(I43,0)),INDEX(Listas!$B$2:$B$6,ROUND(I43,0))))</f>
        <v/>
      </c>
      <c r="O43" s="24" t="str">
        <f>IF(COUNT(D43:H43)&lt;5,"",IFERROR(SUMPRODUCT(D43:H43,Brier!$C$17:$G$17)/SUM(Brier!$C$17:$G$17),""))</f>
        <v/>
      </c>
      <c r="P43" s="25" t="str">
        <f>IF(OR(O43="",B43=""),"",IF(B43="Probabilidad",INDEX(Listas!$A$2:$A$6,ROUND(O43,0)),INDEX(Listas!$B$2:$B$6,ROUND(O43,0))))</f>
        <v/>
      </c>
    </row>
    <row r="44" spans="1:16" x14ac:dyDescent="0.25">
      <c r="A44" s="23"/>
      <c r="B44" s="23"/>
      <c r="C44" s="23"/>
      <c r="D44" s="23"/>
      <c r="E44" s="23"/>
      <c r="F44" s="23"/>
      <c r="G44" s="23"/>
      <c r="H44" s="23"/>
      <c r="I44" s="24" t="str">
        <f>IF(COUNT(D44:H44)=0,"",MEDIAN(D44:H44))</f>
        <v/>
      </c>
      <c r="J44" s="24" t="str">
        <f>IF(COUNT(D44:H44)=0,"",QUARTILE(D44:H44,1))</f>
        <v/>
      </c>
      <c r="K44" s="24" t="str">
        <f>IF(COUNT(D44:H44)=0,"",QUARTILE(D44:H44,3))</f>
        <v/>
      </c>
      <c r="L44" s="24" t="str">
        <f>IF(COUNT(D44:H44)=0,"",K44-J44)</f>
        <v/>
      </c>
      <c r="M44" s="25" t="str">
        <f>IF(L44="","",IF(L44&lt;=1,"Sí","No"))</f>
        <v/>
      </c>
      <c r="N44" s="25" t="str">
        <f>IF(OR(I44="",B44=""),"",IF(B44="Probabilidad",INDEX(Listas!$A$2:$A$6,ROUND(I44,0)),INDEX(Listas!$B$2:$B$6,ROUND(I44,0))))</f>
        <v/>
      </c>
      <c r="O44" s="24" t="str">
        <f>IF(COUNT(D44:H44)&lt;5,"",IFERROR(SUMPRODUCT(D44:H44,Brier!$C$17:$G$17)/SUM(Brier!$C$17:$G$17),""))</f>
        <v/>
      </c>
      <c r="P44" s="25" t="str">
        <f>IF(OR(O44="",B44=""),"",IF(B44="Probabilidad",INDEX(Listas!$A$2:$A$6,ROUND(O44,0)),INDEX(Listas!$B$2:$B$6,ROUND(O44,0))))</f>
        <v/>
      </c>
    </row>
    <row r="45" spans="1:16" x14ac:dyDescent="0.25">
      <c r="A45" s="23"/>
      <c r="B45" s="23"/>
      <c r="C45" s="23"/>
      <c r="D45" s="23"/>
      <c r="E45" s="23"/>
      <c r="F45" s="23"/>
      <c r="G45" s="23"/>
      <c r="H45" s="23"/>
      <c r="I45" s="24" t="str">
        <f>IF(COUNT(D45:H45)=0,"",MEDIAN(D45:H45))</f>
        <v/>
      </c>
      <c r="J45" s="24" t="str">
        <f>IF(COUNT(D45:H45)=0,"",QUARTILE(D45:H45,1))</f>
        <v/>
      </c>
      <c r="K45" s="24" t="str">
        <f>IF(COUNT(D45:H45)=0,"",QUARTILE(D45:H45,3))</f>
        <v/>
      </c>
      <c r="L45" s="24" t="str">
        <f>IF(COUNT(D45:H45)=0,"",K45-J45)</f>
        <v/>
      </c>
      <c r="M45" s="25" t="str">
        <f>IF(L45="","",IF(L45&lt;=1,"Sí","No"))</f>
        <v/>
      </c>
      <c r="N45" s="25" t="str">
        <f>IF(OR(I45="",B45=""),"",IF(B45="Probabilidad",INDEX(Listas!$A$2:$A$6,ROUND(I45,0)),INDEX(Listas!$B$2:$B$6,ROUND(I45,0))))</f>
        <v/>
      </c>
      <c r="O45" s="24" t="str">
        <f>IF(COUNT(D45:H45)&lt;5,"",IFERROR(SUMPRODUCT(D45:H45,Brier!$C$17:$G$17)/SUM(Brier!$C$17:$G$17),""))</f>
        <v/>
      </c>
      <c r="P45" s="25" t="str">
        <f>IF(OR(O45="",B45=""),"",IF(B45="Probabilidad",INDEX(Listas!$A$2:$A$6,ROUND(O45,0)),INDEX(Listas!$B$2:$B$6,ROUND(O45,0))))</f>
        <v/>
      </c>
    </row>
    <row r="46" spans="1:16" x14ac:dyDescent="0.25">
      <c r="A46" s="23"/>
      <c r="B46" s="23"/>
      <c r="C46" s="23"/>
      <c r="D46" s="23"/>
      <c r="E46" s="23"/>
      <c r="F46" s="23"/>
      <c r="G46" s="23"/>
      <c r="H46" s="23"/>
      <c r="I46" s="24" t="str">
        <f>IF(COUNT(D46:H46)=0,"",MEDIAN(D46:H46))</f>
        <v/>
      </c>
      <c r="J46" s="24" t="str">
        <f>IF(COUNT(D46:H46)=0,"",QUARTILE(D46:H46,1))</f>
        <v/>
      </c>
      <c r="K46" s="24" t="str">
        <f>IF(COUNT(D46:H46)=0,"",QUARTILE(D46:H46,3))</f>
        <v/>
      </c>
      <c r="L46" s="24" t="str">
        <f>IF(COUNT(D46:H46)=0,"",K46-J46)</f>
        <v/>
      </c>
      <c r="M46" s="25" t="str">
        <f>IF(L46="","",IF(L46&lt;=1,"Sí","No"))</f>
        <v/>
      </c>
      <c r="N46" s="25" t="str">
        <f>IF(OR(I46="",B46=""),"",IF(B46="Probabilidad",INDEX(Listas!$A$2:$A$6,ROUND(I46,0)),INDEX(Listas!$B$2:$B$6,ROUND(I46,0))))</f>
        <v/>
      </c>
      <c r="O46" s="24" t="str">
        <f>IF(COUNT(D46:H46)&lt;5,"",IFERROR(SUMPRODUCT(D46:H46,Brier!$C$17:$G$17)/SUM(Brier!$C$17:$G$17),""))</f>
        <v/>
      </c>
      <c r="P46" s="25" t="str">
        <f>IF(OR(O46="",B46=""),"",IF(B46="Probabilidad",INDEX(Listas!$A$2:$A$6,ROUND(O46,0)),INDEX(Listas!$B$2:$B$6,ROUND(O46,0))))</f>
        <v/>
      </c>
    </row>
    <row r="47" spans="1:16" x14ac:dyDescent="0.25">
      <c r="A47" s="23"/>
      <c r="B47" s="23"/>
      <c r="C47" s="23"/>
      <c r="D47" s="23"/>
      <c r="E47" s="23"/>
      <c r="F47" s="23"/>
      <c r="G47" s="23"/>
      <c r="H47" s="23"/>
      <c r="I47" s="24" t="str">
        <f>IF(COUNT(D47:H47)=0,"",MEDIAN(D47:H47))</f>
        <v/>
      </c>
      <c r="J47" s="24" t="str">
        <f>IF(COUNT(D47:H47)=0,"",QUARTILE(D47:H47,1))</f>
        <v/>
      </c>
      <c r="K47" s="24" t="str">
        <f>IF(COUNT(D47:H47)=0,"",QUARTILE(D47:H47,3))</f>
        <v/>
      </c>
      <c r="L47" s="24" t="str">
        <f>IF(COUNT(D47:H47)=0,"",K47-J47)</f>
        <v/>
      </c>
      <c r="M47" s="25" t="str">
        <f>IF(L47="","",IF(L47&lt;=1,"Sí","No"))</f>
        <v/>
      </c>
      <c r="N47" s="25" t="str">
        <f>IF(OR(I47="",B47=""),"",IF(B47="Probabilidad",INDEX(Listas!$A$2:$A$6,ROUND(I47,0)),INDEX(Listas!$B$2:$B$6,ROUND(I47,0))))</f>
        <v/>
      </c>
      <c r="O47" s="24" t="str">
        <f>IF(COUNT(D47:H47)&lt;5,"",IFERROR(SUMPRODUCT(D47:H47,Brier!$C$17:$G$17)/SUM(Brier!$C$17:$G$17),""))</f>
        <v/>
      </c>
      <c r="P47" s="25" t="str">
        <f>IF(OR(O47="",B47=""),"",IF(B47="Probabilidad",INDEX(Listas!$A$2:$A$6,ROUND(O47,0)),INDEX(Listas!$B$2:$B$6,ROUND(O47,0))))</f>
        <v/>
      </c>
    </row>
    <row r="48" spans="1:16" x14ac:dyDescent="0.25">
      <c r="A48" s="23"/>
      <c r="B48" s="23"/>
      <c r="C48" s="23"/>
      <c r="D48" s="23"/>
      <c r="E48" s="23"/>
      <c r="F48" s="23"/>
      <c r="G48" s="23"/>
      <c r="H48" s="23"/>
      <c r="I48" s="24" t="str">
        <f>IF(COUNT(D48:H48)=0,"",MEDIAN(D48:H48))</f>
        <v/>
      </c>
      <c r="J48" s="24" t="str">
        <f>IF(COUNT(D48:H48)=0,"",QUARTILE(D48:H48,1))</f>
        <v/>
      </c>
      <c r="K48" s="24" t="str">
        <f>IF(COUNT(D48:H48)=0,"",QUARTILE(D48:H48,3))</f>
        <v/>
      </c>
      <c r="L48" s="24" t="str">
        <f>IF(COUNT(D48:H48)=0,"",K48-J48)</f>
        <v/>
      </c>
      <c r="M48" s="25" t="str">
        <f>IF(L48="","",IF(L48&lt;=1,"Sí","No"))</f>
        <v/>
      </c>
      <c r="N48" s="25" t="str">
        <f>IF(OR(I48="",B48=""),"",IF(B48="Probabilidad",INDEX(Listas!$A$2:$A$6,ROUND(I48,0)),INDEX(Listas!$B$2:$B$6,ROUND(I48,0))))</f>
        <v/>
      </c>
      <c r="O48" s="24" t="str">
        <f>IF(COUNT(D48:H48)&lt;5,"",IFERROR(SUMPRODUCT(D48:H48,Brier!$C$17:$G$17)/SUM(Brier!$C$17:$G$17),""))</f>
        <v/>
      </c>
      <c r="P48" s="25" t="str">
        <f>IF(OR(O48="",B48=""),"",IF(B48="Probabilidad",INDEX(Listas!$A$2:$A$6,ROUND(O48,0)),INDEX(Listas!$B$2:$B$6,ROUND(O48,0))))</f>
        <v/>
      </c>
    </row>
    <row r="49" spans="1:16" x14ac:dyDescent="0.25">
      <c r="A49" s="23"/>
      <c r="B49" s="23"/>
      <c r="C49" s="23"/>
      <c r="D49" s="23"/>
      <c r="E49" s="23"/>
      <c r="F49" s="23"/>
      <c r="G49" s="23"/>
      <c r="H49" s="23"/>
      <c r="I49" s="24" t="str">
        <f>IF(COUNT(D49:H49)=0,"",MEDIAN(D49:H49))</f>
        <v/>
      </c>
      <c r="J49" s="24" t="str">
        <f>IF(COUNT(D49:H49)=0,"",QUARTILE(D49:H49,1))</f>
        <v/>
      </c>
      <c r="K49" s="24" t="str">
        <f>IF(COUNT(D49:H49)=0,"",QUARTILE(D49:H49,3))</f>
        <v/>
      </c>
      <c r="L49" s="24" t="str">
        <f>IF(COUNT(D49:H49)=0,"",K49-J49)</f>
        <v/>
      </c>
      <c r="M49" s="25" t="str">
        <f>IF(L49="","",IF(L49&lt;=1,"Sí","No"))</f>
        <v/>
      </c>
      <c r="N49" s="25" t="str">
        <f>IF(OR(I49="",B49=""),"",IF(B49="Probabilidad",INDEX(Listas!$A$2:$A$6,ROUND(I49,0)),INDEX(Listas!$B$2:$B$6,ROUND(I49,0))))</f>
        <v/>
      </c>
      <c r="O49" s="24" t="str">
        <f>IF(COUNT(D49:H49)&lt;5,"",IFERROR(SUMPRODUCT(D49:H49,Brier!$C$17:$G$17)/SUM(Brier!$C$17:$G$17),""))</f>
        <v/>
      </c>
      <c r="P49" s="25" t="str">
        <f>IF(OR(O49="",B49=""),"",IF(B49="Probabilidad",INDEX(Listas!$A$2:$A$6,ROUND(O49,0)),INDEX(Listas!$B$2:$B$6,ROUND(O49,0))))</f>
        <v/>
      </c>
    </row>
    <row r="50" spans="1:16" x14ac:dyDescent="0.25">
      <c r="A50" s="23"/>
      <c r="B50" s="23"/>
      <c r="C50" s="23"/>
      <c r="D50" s="23"/>
      <c r="E50" s="23"/>
      <c r="F50" s="23"/>
      <c r="G50" s="23"/>
      <c r="H50" s="23"/>
      <c r="I50" s="24" t="str">
        <f>IF(COUNT(D50:H50)=0,"",MEDIAN(D50:H50))</f>
        <v/>
      </c>
      <c r="J50" s="24" t="str">
        <f>IF(COUNT(D50:H50)=0,"",QUARTILE(D50:H50,1))</f>
        <v/>
      </c>
      <c r="K50" s="24" t="str">
        <f>IF(COUNT(D50:H50)=0,"",QUARTILE(D50:H50,3))</f>
        <v/>
      </c>
      <c r="L50" s="24" t="str">
        <f>IF(COUNT(D50:H50)=0,"",K50-J50)</f>
        <v/>
      </c>
      <c r="M50" s="25" t="str">
        <f>IF(L50="","",IF(L50&lt;=1,"Sí","No"))</f>
        <v/>
      </c>
      <c r="N50" s="25" t="str">
        <f>IF(OR(I50="",B50=""),"",IF(B50="Probabilidad",INDEX(Listas!$A$2:$A$6,ROUND(I50,0)),INDEX(Listas!$B$2:$B$6,ROUND(I50,0))))</f>
        <v/>
      </c>
      <c r="O50" s="24" t="str">
        <f>IF(COUNT(D50:H50)&lt;5,"",IFERROR(SUMPRODUCT(D50:H50,Brier!$C$17:$G$17)/SUM(Brier!$C$17:$G$17),""))</f>
        <v/>
      </c>
      <c r="P50" s="25" t="str">
        <f>IF(OR(O50="",B50=""),"",IF(B50="Probabilidad",INDEX(Listas!$A$2:$A$6,ROUND(O50,0)),INDEX(Listas!$B$2:$B$6,ROUND(O50,0))))</f>
        <v/>
      </c>
    </row>
    <row r="51" spans="1:16" x14ac:dyDescent="0.25">
      <c r="A51" s="23"/>
      <c r="B51" s="23"/>
      <c r="C51" s="23"/>
      <c r="D51" s="23"/>
      <c r="E51" s="23"/>
      <c r="F51" s="23"/>
      <c r="G51" s="23"/>
      <c r="H51" s="23"/>
      <c r="I51" s="24" t="str">
        <f>IF(COUNT(D51:H51)=0,"",MEDIAN(D51:H51))</f>
        <v/>
      </c>
      <c r="J51" s="24" t="str">
        <f>IF(COUNT(D51:H51)=0,"",QUARTILE(D51:H51,1))</f>
        <v/>
      </c>
      <c r="K51" s="24" t="str">
        <f>IF(COUNT(D51:H51)=0,"",QUARTILE(D51:H51,3))</f>
        <v/>
      </c>
      <c r="L51" s="24" t="str">
        <f>IF(COUNT(D51:H51)=0,"",K51-J51)</f>
        <v/>
      </c>
      <c r="M51" s="25" t="str">
        <f>IF(L51="","",IF(L51&lt;=1,"Sí","No"))</f>
        <v/>
      </c>
      <c r="N51" s="25" t="str">
        <f>IF(OR(I51="",B51=""),"",IF(B51="Probabilidad",INDEX(Listas!$A$2:$A$6,ROUND(I51,0)),INDEX(Listas!$B$2:$B$6,ROUND(I51,0))))</f>
        <v/>
      </c>
      <c r="O51" s="24" t="str">
        <f>IF(COUNT(D51:H51)&lt;5,"",IFERROR(SUMPRODUCT(D51:H51,Brier!$C$17:$G$17)/SUM(Brier!$C$17:$G$17),""))</f>
        <v/>
      </c>
      <c r="P51" s="25" t="str">
        <f>IF(OR(O51="",B51=""),"",IF(B51="Probabilidad",INDEX(Listas!$A$2:$A$6,ROUND(O51,0)),INDEX(Listas!$B$2:$B$6,ROUND(O51,0))))</f>
        <v/>
      </c>
    </row>
    <row r="52" spans="1:16" x14ac:dyDescent="0.25">
      <c r="A52" s="23"/>
      <c r="B52" s="23"/>
      <c r="C52" s="23"/>
      <c r="D52" s="23"/>
      <c r="E52" s="23"/>
      <c r="F52" s="23"/>
      <c r="G52" s="23"/>
      <c r="H52" s="23"/>
      <c r="I52" s="24" t="str">
        <f>IF(COUNT(D52:H52)=0,"",MEDIAN(D52:H52))</f>
        <v/>
      </c>
      <c r="J52" s="24" t="str">
        <f>IF(COUNT(D52:H52)=0,"",QUARTILE(D52:H52,1))</f>
        <v/>
      </c>
      <c r="K52" s="24" t="str">
        <f>IF(COUNT(D52:H52)=0,"",QUARTILE(D52:H52,3))</f>
        <v/>
      </c>
      <c r="L52" s="24" t="str">
        <f>IF(COUNT(D52:H52)=0,"",K52-J52)</f>
        <v/>
      </c>
      <c r="M52" s="25" t="str">
        <f>IF(L52="","",IF(L52&lt;=1,"Sí","No"))</f>
        <v/>
      </c>
      <c r="N52" s="25" t="str">
        <f>IF(OR(I52="",B52=""),"",IF(B52="Probabilidad",INDEX(Listas!$A$2:$A$6,ROUND(I52,0)),INDEX(Listas!$B$2:$B$6,ROUND(I52,0))))</f>
        <v/>
      </c>
      <c r="O52" s="24" t="str">
        <f>IF(COUNT(D52:H52)&lt;5,"",IFERROR(SUMPRODUCT(D52:H52,Brier!$C$17:$G$17)/SUM(Brier!$C$17:$G$17),""))</f>
        <v/>
      </c>
      <c r="P52" s="25" t="str">
        <f>IF(OR(O52="",B52=""),"",IF(B52="Probabilidad",INDEX(Listas!$A$2:$A$6,ROUND(O52,0)),INDEX(Listas!$B$2:$B$6,ROUND(O52,0))))</f>
        <v/>
      </c>
    </row>
    <row r="53" spans="1:16" x14ac:dyDescent="0.25">
      <c r="A53" s="23"/>
      <c r="B53" s="23"/>
      <c r="C53" s="23"/>
      <c r="D53" s="23"/>
      <c r="E53" s="23"/>
      <c r="F53" s="23"/>
      <c r="G53" s="23"/>
      <c r="H53" s="23"/>
      <c r="I53" s="24" t="str">
        <f>IF(COUNT(D53:H53)=0,"",MEDIAN(D53:H53))</f>
        <v/>
      </c>
      <c r="J53" s="24" t="str">
        <f>IF(COUNT(D53:H53)=0,"",QUARTILE(D53:H53,1))</f>
        <v/>
      </c>
      <c r="K53" s="24" t="str">
        <f>IF(COUNT(D53:H53)=0,"",QUARTILE(D53:H53,3))</f>
        <v/>
      </c>
      <c r="L53" s="24" t="str">
        <f>IF(COUNT(D53:H53)=0,"",K53-J53)</f>
        <v/>
      </c>
      <c r="M53" s="25" t="str">
        <f>IF(L53="","",IF(L53&lt;=1,"Sí","No"))</f>
        <v/>
      </c>
      <c r="N53" s="25" t="str">
        <f>IF(OR(I53="",B53=""),"",IF(B53="Probabilidad",INDEX(Listas!$A$2:$A$6,ROUND(I53,0)),INDEX(Listas!$B$2:$B$6,ROUND(I53,0))))</f>
        <v/>
      </c>
      <c r="O53" s="24" t="str">
        <f>IF(COUNT(D53:H53)&lt;5,"",IFERROR(SUMPRODUCT(D53:H53,Brier!$C$17:$G$17)/SUM(Brier!$C$17:$G$17),""))</f>
        <v/>
      </c>
      <c r="P53" s="25" t="str">
        <f>IF(OR(O53="",B53=""),"",IF(B53="Probabilidad",INDEX(Listas!$A$2:$A$6,ROUND(O53,0)),INDEX(Listas!$B$2:$B$6,ROUND(O53,0))))</f>
        <v/>
      </c>
    </row>
    <row r="54" spans="1:16" x14ac:dyDescent="0.25">
      <c r="A54" s="23"/>
      <c r="B54" s="23"/>
      <c r="C54" s="23"/>
      <c r="D54" s="23"/>
      <c r="E54" s="23"/>
      <c r="F54" s="23"/>
      <c r="G54" s="23"/>
      <c r="H54" s="23"/>
      <c r="I54" s="24" t="str">
        <f>IF(COUNT(D54:H54)=0,"",MEDIAN(D54:H54))</f>
        <v/>
      </c>
      <c r="J54" s="24" t="str">
        <f>IF(COUNT(D54:H54)=0,"",QUARTILE(D54:H54,1))</f>
        <v/>
      </c>
      <c r="K54" s="24" t="str">
        <f>IF(COUNT(D54:H54)=0,"",QUARTILE(D54:H54,3))</f>
        <v/>
      </c>
      <c r="L54" s="24" t="str">
        <f>IF(COUNT(D54:H54)=0,"",K54-J54)</f>
        <v/>
      </c>
      <c r="M54" s="25" t="str">
        <f>IF(L54="","",IF(L54&lt;=1,"Sí","No"))</f>
        <v/>
      </c>
      <c r="N54" s="25" t="str">
        <f>IF(OR(I54="",B54=""),"",IF(B54="Probabilidad",INDEX(Listas!$A$2:$A$6,ROUND(I54,0)),INDEX(Listas!$B$2:$B$6,ROUND(I54,0))))</f>
        <v/>
      </c>
      <c r="O54" s="24" t="str">
        <f>IF(COUNT(D54:H54)&lt;5,"",IFERROR(SUMPRODUCT(D54:H54,Brier!$C$17:$G$17)/SUM(Brier!$C$17:$G$17),""))</f>
        <v/>
      </c>
      <c r="P54" s="25" t="str">
        <f>IF(OR(O54="",B54=""),"",IF(B54="Probabilidad",INDEX(Listas!$A$2:$A$6,ROUND(O54,0)),INDEX(Listas!$B$2:$B$6,ROUND(O54,0))))</f>
        <v/>
      </c>
    </row>
    <row r="55" spans="1:16" x14ac:dyDescent="0.25">
      <c r="A55" s="23"/>
      <c r="B55" s="23"/>
      <c r="C55" s="23"/>
      <c r="D55" s="23"/>
      <c r="E55" s="23"/>
      <c r="F55" s="23"/>
      <c r="G55" s="23"/>
      <c r="H55" s="23"/>
      <c r="I55" s="24" t="str">
        <f>IF(COUNT(D55:H55)=0,"",MEDIAN(D55:H55))</f>
        <v/>
      </c>
      <c r="J55" s="24" t="str">
        <f>IF(COUNT(D55:H55)=0,"",QUARTILE(D55:H55,1))</f>
        <v/>
      </c>
      <c r="K55" s="24" t="str">
        <f>IF(COUNT(D55:H55)=0,"",QUARTILE(D55:H55,3))</f>
        <v/>
      </c>
      <c r="L55" s="24" t="str">
        <f>IF(COUNT(D55:H55)=0,"",K55-J55)</f>
        <v/>
      </c>
      <c r="M55" s="25" t="str">
        <f>IF(L55="","",IF(L55&lt;=1,"Sí","No"))</f>
        <v/>
      </c>
      <c r="N55" s="25" t="str">
        <f>IF(OR(I55="",B55=""),"",IF(B55="Probabilidad",INDEX(Listas!$A$2:$A$6,ROUND(I55,0)),INDEX(Listas!$B$2:$B$6,ROUND(I55,0))))</f>
        <v/>
      </c>
      <c r="O55" s="24" t="str">
        <f>IF(COUNT(D55:H55)&lt;5,"",IFERROR(SUMPRODUCT(D55:H55,Brier!$C$17:$G$17)/SUM(Brier!$C$17:$G$17),""))</f>
        <v/>
      </c>
      <c r="P55" s="25" t="str">
        <f>IF(OR(O55="",B55=""),"",IF(B55="Probabilidad",INDEX(Listas!$A$2:$A$6,ROUND(O55,0)),INDEX(Listas!$B$2:$B$6,ROUND(O55,0))))</f>
        <v/>
      </c>
    </row>
    <row r="56" spans="1:16" x14ac:dyDescent="0.25">
      <c r="A56" s="23"/>
      <c r="B56" s="23"/>
      <c r="C56" s="23"/>
      <c r="D56" s="23"/>
      <c r="E56" s="23"/>
      <c r="F56" s="23"/>
      <c r="G56" s="23"/>
      <c r="H56" s="23"/>
      <c r="I56" s="24" t="str">
        <f>IF(COUNT(D56:H56)=0,"",MEDIAN(D56:H56))</f>
        <v/>
      </c>
      <c r="J56" s="24" t="str">
        <f>IF(COUNT(D56:H56)=0,"",QUARTILE(D56:H56,1))</f>
        <v/>
      </c>
      <c r="K56" s="24" t="str">
        <f>IF(COUNT(D56:H56)=0,"",QUARTILE(D56:H56,3))</f>
        <v/>
      </c>
      <c r="L56" s="24" t="str">
        <f>IF(COUNT(D56:H56)=0,"",K56-J56)</f>
        <v/>
      </c>
      <c r="M56" s="25" t="str">
        <f>IF(L56="","",IF(L56&lt;=1,"Sí","No"))</f>
        <v/>
      </c>
      <c r="N56" s="25" t="str">
        <f>IF(OR(I56="",B56=""),"",IF(B56="Probabilidad",INDEX(Listas!$A$2:$A$6,ROUND(I56,0)),INDEX(Listas!$B$2:$B$6,ROUND(I56,0))))</f>
        <v/>
      </c>
      <c r="O56" s="24" t="str">
        <f>IF(COUNT(D56:H56)&lt;5,"",IFERROR(SUMPRODUCT(D56:H56,Brier!$C$17:$G$17)/SUM(Brier!$C$17:$G$17),""))</f>
        <v/>
      </c>
      <c r="P56" s="25" t="str">
        <f>IF(OR(O56="",B56=""),"",IF(B56="Probabilidad",INDEX(Listas!$A$2:$A$6,ROUND(O56,0)),INDEX(Listas!$B$2:$B$6,ROUND(O56,0))))</f>
        <v/>
      </c>
    </row>
    <row r="57" spans="1:16" x14ac:dyDescent="0.25">
      <c r="A57" s="23"/>
      <c r="B57" s="23"/>
      <c r="C57" s="23"/>
      <c r="D57" s="23"/>
      <c r="E57" s="23"/>
      <c r="F57" s="23"/>
      <c r="G57" s="23"/>
      <c r="H57" s="23"/>
      <c r="I57" s="24" t="str">
        <f>IF(COUNT(D57:H57)=0,"",MEDIAN(D57:H57))</f>
        <v/>
      </c>
      <c r="J57" s="24" t="str">
        <f>IF(COUNT(D57:H57)=0,"",QUARTILE(D57:H57,1))</f>
        <v/>
      </c>
      <c r="K57" s="24" t="str">
        <f>IF(COUNT(D57:H57)=0,"",QUARTILE(D57:H57,3))</f>
        <v/>
      </c>
      <c r="L57" s="24" t="str">
        <f>IF(COUNT(D57:H57)=0,"",K57-J57)</f>
        <v/>
      </c>
      <c r="M57" s="25" t="str">
        <f>IF(L57="","",IF(L57&lt;=1,"Sí","No"))</f>
        <v/>
      </c>
      <c r="N57" s="25" t="str">
        <f>IF(OR(I57="",B57=""),"",IF(B57="Probabilidad",INDEX(Listas!$A$2:$A$6,ROUND(I57,0)),INDEX(Listas!$B$2:$B$6,ROUND(I57,0))))</f>
        <v/>
      </c>
      <c r="O57" s="24" t="str">
        <f>IF(COUNT(D57:H57)&lt;5,"",IFERROR(SUMPRODUCT(D57:H57,Brier!$C$17:$G$17)/SUM(Brier!$C$17:$G$17),""))</f>
        <v/>
      </c>
      <c r="P57" s="25" t="str">
        <f>IF(OR(O57="",B57=""),"",IF(B57="Probabilidad",INDEX(Listas!$A$2:$A$6,ROUND(O57,0)),INDEX(Listas!$B$2:$B$6,ROUND(O57,0))))</f>
        <v/>
      </c>
    </row>
    <row r="58" spans="1:16" x14ac:dyDescent="0.25">
      <c r="A58" s="23"/>
      <c r="B58" s="23"/>
      <c r="C58" s="23"/>
      <c r="D58" s="23"/>
      <c r="E58" s="23"/>
      <c r="F58" s="23"/>
      <c r="G58" s="23"/>
      <c r="H58" s="23"/>
      <c r="I58" s="24" t="str">
        <f>IF(COUNT(D58:H58)=0,"",MEDIAN(D58:H58))</f>
        <v/>
      </c>
      <c r="J58" s="24" t="str">
        <f>IF(COUNT(D58:H58)=0,"",QUARTILE(D58:H58,1))</f>
        <v/>
      </c>
      <c r="K58" s="24" t="str">
        <f>IF(COUNT(D58:H58)=0,"",QUARTILE(D58:H58,3))</f>
        <v/>
      </c>
      <c r="L58" s="24" t="str">
        <f>IF(COUNT(D58:H58)=0,"",K58-J58)</f>
        <v/>
      </c>
      <c r="M58" s="25" t="str">
        <f>IF(L58="","",IF(L58&lt;=1,"Sí","No"))</f>
        <v/>
      </c>
      <c r="N58" s="25" t="str">
        <f>IF(OR(I58="",B58=""),"",IF(B58="Probabilidad",INDEX(Listas!$A$2:$A$6,ROUND(I58,0)),INDEX(Listas!$B$2:$B$6,ROUND(I58,0))))</f>
        <v/>
      </c>
      <c r="O58" s="24" t="str">
        <f>IF(COUNT(D58:H58)&lt;5,"",IFERROR(SUMPRODUCT(D58:H58,Brier!$C$17:$G$17)/SUM(Brier!$C$17:$G$17),""))</f>
        <v/>
      </c>
      <c r="P58" s="25" t="str">
        <f>IF(OR(O58="",B58=""),"",IF(B58="Probabilidad",INDEX(Listas!$A$2:$A$6,ROUND(O58,0)),INDEX(Listas!$B$2:$B$6,ROUND(O58,0))))</f>
        <v/>
      </c>
    </row>
    <row r="59" spans="1:16" x14ac:dyDescent="0.25">
      <c r="A59" s="23"/>
      <c r="B59" s="23"/>
      <c r="C59" s="23"/>
      <c r="D59" s="23"/>
      <c r="E59" s="23"/>
      <c r="F59" s="23"/>
      <c r="G59" s="23"/>
      <c r="H59" s="23"/>
      <c r="I59" s="24" t="str">
        <f>IF(COUNT(D59:H59)=0,"",MEDIAN(D59:H59))</f>
        <v/>
      </c>
      <c r="J59" s="24" t="str">
        <f>IF(COUNT(D59:H59)=0,"",QUARTILE(D59:H59,1))</f>
        <v/>
      </c>
      <c r="K59" s="24" t="str">
        <f>IF(COUNT(D59:H59)=0,"",QUARTILE(D59:H59,3))</f>
        <v/>
      </c>
      <c r="L59" s="24" t="str">
        <f>IF(COUNT(D59:H59)=0,"",K59-J59)</f>
        <v/>
      </c>
      <c r="M59" s="25" t="str">
        <f>IF(L59="","",IF(L59&lt;=1,"Sí","No"))</f>
        <v/>
      </c>
      <c r="N59" s="25" t="str">
        <f>IF(OR(I59="",B59=""),"",IF(B59="Probabilidad",INDEX(Listas!$A$2:$A$6,ROUND(I59,0)),INDEX(Listas!$B$2:$B$6,ROUND(I59,0))))</f>
        <v/>
      </c>
      <c r="O59" s="24" t="str">
        <f>IF(COUNT(D59:H59)&lt;5,"",IFERROR(SUMPRODUCT(D59:H59,Brier!$C$17:$G$17)/SUM(Brier!$C$17:$G$17),""))</f>
        <v/>
      </c>
      <c r="P59" s="25" t="str">
        <f>IF(OR(O59="",B59=""),"",IF(B59="Probabilidad",INDEX(Listas!$A$2:$A$6,ROUND(O59,0)),INDEX(Listas!$B$2:$B$6,ROUND(O59,0))))</f>
        <v/>
      </c>
    </row>
    <row r="60" spans="1:16" x14ac:dyDescent="0.25">
      <c r="A60" s="23"/>
      <c r="B60" s="23"/>
      <c r="C60" s="23"/>
      <c r="D60" s="23"/>
      <c r="E60" s="23"/>
      <c r="F60" s="23"/>
      <c r="G60" s="23"/>
      <c r="H60" s="23"/>
      <c r="I60" s="24" t="str">
        <f>IF(COUNT(D60:H60)=0,"",MEDIAN(D60:H60))</f>
        <v/>
      </c>
      <c r="J60" s="24" t="str">
        <f>IF(COUNT(D60:H60)=0,"",QUARTILE(D60:H60,1))</f>
        <v/>
      </c>
      <c r="K60" s="24" t="str">
        <f>IF(COUNT(D60:H60)=0,"",QUARTILE(D60:H60,3))</f>
        <v/>
      </c>
      <c r="L60" s="24" t="str">
        <f>IF(COUNT(D60:H60)=0,"",K60-J60)</f>
        <v/>
      </c>
      <c r="M60" s="25" t="str">
        <f>IF(L60="","",IF(L60&lt;=1,"Sí","No"))</f>
        <v/>
      </c>
      <c r="N60" s="25" t="str">
        <f>IF(OR(I60="",B60=""),"",IF(B60="Probabilidad",INDEX(Listas!$A$2:$A$6,ROUND(I60,0)),INDEX(Listas!$B$2:$B$6,ROUND(I60,0))))</f>
        <v/>
      </c>
      <c r="O60" s="24" t="str">
        <f>IF(COUNT(D60:H60)&lt;5,"",IFERROR(SUMPRODUCT(D60:H60,Brier!$C$17:$G$17)/SUM(Brier!$C$17:$G$17),""))</f>
        <v/>
      </c>
      <c r="P60" s="25" t="str">
        <f>IF(OR(O60="",B60=""),"",IF(B60="Probabilidad",INDEX(Listas!$A$2:$A$6,ROUND(O60,0)),INDEX(Listas!$B$2:$B$6,ROUND(O60,0))))</f>
        <v/>
      </c>
    </row>
    <row r="61" spans="1:16" x14ac:dyDescent="0.25">
      <c r="A61" s="23"/>
      <c r="B61" s="23"/>
      <c r="C61" s="23"/>
      <c r="D61" s="23"/>
      <c r="E61" s="23"/>
      <c r="F61" s="23"/>
      <c r="G61" s="23"/>
      <c r="H61" s="23"/>
      <c r="I61" s="24" t="str">
        <f>IF(COUNT(D61:H61)=0,"",MEDIAN(D61:H61))</f>
        <v/>
      </c>
      <c r="J61" s="24" t="str">
        <f>IF(COUNT(D61:H61)=0,"",QUARTILE(D61:H61,1))</f>
        <v/>
      </c>
      <c r="K61" s="24" t="str">
        <f>IF(COUNT(D61:H61)=0,"",QUARTILE(D61:H61,3))</f>
        <v/>
      </c>
      <c r="L61" s="24" t="str">
        <f>IF(COUNT(D61:H61)=0,"",K61-J61)</f>
        <v/>
      </c>
      <c r="M61" s="25" t="str">
        <f>IF(L61="","",IF(L61&lt;=1,"Sí","No"))</f>
        <v/>
      </c>
      <c r="N61" s="25" t="str">
        <f>IF(OR(I61="",B61=""),"",IF(B61="Probabilidad",INDEX(Listas!$A$2:$A$6,ROUND(I61,0)),INDEX(Listas!$B$2:$B$6,ROUND(I61,0))))</f>
        <v/>
      </c>
      <c r="O61" s="24" t="str">
        <f>IF(COUNT(D61:H61)&lt;5,"",IFERROR(SUMPRODUCT(D61:H61,Brier!$C$17:$G$17)/SUM(Brier!$C$17:$G$17),""))</f>
        <v/>
      </c>
      <c r="P61" s="25" t="str">
        <f>IF(OR(O61="",B61=""),"",IF(B61="Probabilidad",INDEX(Listas!$A$2:$A$6,ROUND(O61,0)),INDEX(Listas!$B$2:$B$6,ROUND(O61,0))))</f>
        <v/>
      </c>
    </row>
    <row r="62" spans="1:16" x14ac:dyDescent="0.25">
      <c r="A62" s="23"/>
      <c r="B62" s="23"/>
      <c r="C62" s="23"/>
      <c r="D62" s="23"/>
      <c r="E62" s="23"/>
      <c r="F62" s="23"/>
      <c r="G62" s="23"/>
      <c r="H62" s="23"/>
      <c r="I62" s="24" t="str">
        <f>IF(COUNT(D62:H62)=0,"",MEDIAN(D62:H62))</f>
        <v/>
      </c>
      <c r="J62" s="24" t="str">
        <f>IF(COUNT(D62:H62)=0,"",QUARTILE(D62:H62,1))</f>
        <v/>
      </c>
      <c r="K62" s="24" t="str">
        <f>IF(COUNT(D62:H62)=0,"",QUARTILE(D62:H62,3))</f>
        <v/>
      </c>
      <c r="L62" s="24" t="str">
        <f>IF(COUNT(D62:H62)=0,"",K62-J62)</f>
        <v/>
      </c>
      <c r="M62" s="25" t="str">
        <f>IF(L62="","",IF(L62&lt;=1,"Sí","No"))</f>
        <v/>
      </c>
      <c r="N62" s="25" t="str">
        <f>IF(OR(I62="",B62=""),"",IF(B62="Probabilidad",INDEX(Listas!$A$2:$A$6,ROUND(I62,0)),INDEX(Listas!$B$2:$B$6,ROUND(I62,0))))</f>
        <v/>
      </c>
      <c r="O62" s="24" t="str">
        <f>IF(COUNT(D62:H62)&lt;5,"",IFERROR(SUMPRODUCT(D62:H62,Brier!$C$17:$G$17)/SUM(Brier!$C$17:$G$17),""))</f>
        <v/>
      </c>
      <c r="P62" s="25" t="str">
        <f>IF(OR(O62="",B62=""),"",IF(B62="Probabilidad",INDEX(Listas!$A$2:$A$6,ROUND(O62,0)),INDEX(Listas!$B$2:$B$6,ROUND(O62,0))))</f>
        <v/>
      </c>
    </row>
    <row r="63" spans="1:16" x14ac:dyDescent="0.25">
      <c r="A63" s="23"/>
      <c r="B63" s="23"/>
      <c r="C63" s="23"/>
      <c r="D63" s="23"/>
      <c r="E63" s="23"/>
      <c r="F63" s="23"/>
      <c r="G63" s="23"/>
      <c r="H63" s="23"/>
      <c r="I63" s="24" t="str">
        <f>IF(COUNT(D63:H63)=0,"",MEDIAN(D63:H63))</f>
        <v/>
      </c>
      <c r="J63" s="24" t="str">
        <f>IF(COUNT(D63:H63)=0,"",QUARTILE(D63:H63,1))</f>
        <v/>
      </c>
      <c r="K63" s="24" t="str">
        <f>IF(COUNT(D63:H63)=0,"",QUARTILE(D63:H63,3))</f>
        <v/>
      </c>
      <c r="L63" s="24" t="str">
        <f>IF(COUNT(D63:H63)=0,"",K63-J63)</f>
        <v/>
      </c>
      <c r="M63" s="25" t="str">
        <f>IF(L63="","",IF(L63&lt;=1,"Sí","No"))</f>
        <v/>
      </c>
      <c r="N63" s="25" t="str">
        <f>IF(OR(I63="",B63=""),"",IF(B63="Probabilidad",INDEX(Listas!$A$2:$A$6,ROUND(I63,0)),INDEX(Listas!$B$2:$B$6,ROUND(I63,0))))</f>
        <v/>
      </c>
      <c r="O63" s="24" t="str">
        <f>IF(COUNT(D63:H63)&lt;5,"",IFERROR(SUMPRODUCT(D63:H63,Brier!$C$17:$G$17)/SUM(Brier!$C$17:$G$17),""))</f>
        <v/>
      </c>
      <c r="P63" s="25" t="str">
        <f>IF(OR(O63="",B63=""),"",IF(B63="Probabilidad",INDEX(Listas!$A$2:$A$6,ROUND(O63,0)),INDEX(Listas!$B$2:$B$6,ROUND(O63,0))))</f>
        <v/>
      </c>
    </row>
    <row r="64" spans="1:16" x14ac:dyDescent="0.25">
      <c r="A64" s="23"/>
      <c r="B64" s="23"/>
      <c r="C64" s="23"/>
      <c r="D64" s="23"/>
      <c r="E64" s="23"/>
      <c r="F64" s="23"/>
      <c r="G64" s="23"/>
      <c r="H64" s="23"/>
      <c r="I64" s="24" t="str">
        <f>IF(COUNT(D64:H64)=0,"",MEDIAN(D64:H64))</f>
        <v/>
      </c>
      <c r="J64" s="24" t="str">
        <f>IF(COUNT(D64:H64)=0,"",QUARTILE(D64:H64,1))</f>
        <v/>
      </c>
      <c r="K64" s="24" t="str">
        <f>IF(COUNT(D64:H64)=0,"",QUARTILE(D64:H64,3))</f>
        <v/>
      </c>
      <c r="L64" s="24" t="str">
        <f>IF(COUNT(D64:H64)=0,"",K64-J64)</f>
        <v/>
      </c>
      <c r="M64" s="25" t="str">
        <f>IF(L64="","",IF(L64&lt;=1,"Sí","No"))</f>
        <v/>
      </c>
      <c r="N64" s="25" t="str">
        <f>IF(OR(I64="",B64=""),"",IF(B64="Probabilidad",INDEX(Listas!$A$2:$A$6,ROUND(I64,0)),INDEX(Listas!$B$2:$B$6,ROUND(I64,0))))</f>
        <v/>
      </c>
      <c r="O64" s="24" t="str">
        <f>IF(COUNT(D64:H64)&lt;5,"",IFERROR(SUMPRODUCT(D64:H64,Brier!$C$17:$G$17)/SUM(Brier!$C$17:$G$17),""))</f>
        <v/>
      </c>
      <c r="P64" s="25" t="str">
        <f>IF(OR(O64="",B64=""),"",IF(B64="Probabilidad",INDEX(Listas!$A$2:$A$6,ROUND(O64,0)),INDEX(Listas!$B$2:$B$6,ROUND(O64,0))))</f>
        <v/>
      </c>
    </row>
    <row r="66" spans="1:1" x14ac:dyDescent="0.25">
      <c r="A66" s="2" t="s">
        <v>479</v>
      </c>
    </row>
  </sheetData>
  <dataValidations count="6">
    <dataValidation type="list" allowBlank="1" sqref="B10:B64">
      <formula1>"Probabilidad,Impacto"</formula1>
    </dataValidation>
    <dataValidation type="list" allowBlank="1" sqref="B5:B64">
      <formula1>"Probabilidad,Impacto"</formula1>
    </dataValidation>
    <dataValidation type="whole" allowBlank="1" sqref="C10:C64">
      <formula1>1</formula1>
      <formula2>3</formula2>
    </dataValidation>
    <dataValidation type="whole" allowBlank="1" sqref="C5:C64">
      <formula1>1</formula1>
      <formula2>3</formula2>
    </dataValidation>
    <dataValidation type="whole" allowBlank="1" showErrorMessage="1" error="Ingrese un valor entero de 1 a 5." sqref="D10:H64">
      <formula1>1</formula1>
      <formula2>5</formula2>
    </dataValidation>
    <dataValidation type="whole" allowBlank="1" showErrorMessage="1" error="Ingrese un valor entero de 1 a 5." sqref="D5:H64">
      <formula1>1</formula1>
      <formula2>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7" customWidth="1"/>
    <col min="2" max="2" width="62" customWidth="1"/>
    <col min="8" max="8" width="18" customWidth="1"/>
    <col min="9" max="9" width="34" customWidth="1"/>
  </cols>
  <sheetData>
    <row r="1" spans="1:1" x14ac:dyDescent="0.25">
      <c r="A1" s="1" t="s">
        <v>480</v>
      </c>
    </row>
    <row r="2" spans="1:1" x14ac:dyDescent="0.25">
      <c r="A2" s="2" t="s">
        <v>481</v>
      </c>
    </row>
    <row r="4" spans="1:9" x14ac:dyDescent="0.25">
      <c r="A4" s="7" t="s">
        <v>28</v>
      </c>
      <c r="B4" s="7" t="s">
        <v>482</v>
      </c>
      <c r="C4" s="7" t="s">
        <v>466</v>
      </c>
      <c r="D4" s="7" t="s">
        <v>467</v>
      </c>
      <c r="E4" s="7" t="s">
        <v>468</v>
      </c>
      <c r="F4" s="7" t="s">
        <v>469</v>
      </c>
      <c r="G4" s="7" t="s">
        <v>470</v>
      </c>
      <c r="H4" s="7" t="s">
        <v>483</v>
      </c>
      <c r="I4" s="7" t="s">
        <v>484</v>
      </c>
    </row>
    <row r="5" ht="28" customHeight="1" spans="1:9" x14ac:dyDescent="0.25">
      <c r="A5" s="18" t="s">
        <v>485</v>
      </c>
      <c r="B5" s="18" t="s">
        <v>486</v>
      </c>
      <c r="C5" s="26"/>
      <c r="D5" s="26"/>
      <c r="E5" s="26"/>
      <c r="F5" s="26"/>
      <c r="G5" s="26"/>
      <c r="H5" s="27">
        <v>1</v>
      </c>
      <c r="I5" s="28" t="s">
        <v>487</v>
      </c>
    </row>
    <row r="6" ht="28" customHeight="1" spans="1:9" x14ac:dyDescent="0.25">
      <c r="A6" s="18" t="s">
        <v>488</v>
      </c>
      <c r="B6" s="18" t="s">
        <v>489</v>
      </c>
      <c r="C6" s="26"/>
      <c r="D6" s="26"/>
      <c r="E6" s="26"/>
      <c r="F6" s="26"/>
      <c r="G6" s="26"/>
      <c r="H6" s="27">
        <v>1</v>
      </c>
      <c r="I6" s="28" t="s">
        <v>253</v>
      </c>
    </row>
    <row r="7" ht="28" customHeight="1" spans="1:9" x14ac:dyDescent="0.25">
      <c r="A7" s="18" t="s">
        <v>490</v>
      </c>
      <c r="B7" s="18" t="s">
        <v>491</v>
      </c>
      <c r="C7" s="26"/>
      <c r="D7" s="26"/>
      <c r="E7" s="26"/>
      <c r="F7" s="26"/>
      <c r="G7" s="26"/>
      <c r="H7" s="27">
        <v>0</v>
      </c>
      <c r="I7" s="28" t="s">
        <v>492</v>
      </c>
    </row>
    <row r="8" ht="28" customHeight="1" spans="1:9" x14ac:dyDescent="0.25">
      <c r="A8" s="18" t="s">
        <v>493</v>
      </c>
      <c r="B8" s="18" t="s">
        <v>494</v>
      </c>
      <c r="C8" s="26"/>
      <c r="D8" s="26"/>
      <c r="E8" s="26"/>
      <c r="F8" s="26"/>
      <c r="G8" s="26"/>
      <c r="H8" s="27">
        <v>1</v>
      </c>
      <c r="I8" s="28" t="s">
        <v>495</v>
      </c>
    </row>
    <row r="9" ht="28" customHeight="1" spans="1:9" x14ac:dyDescent="0.25">
      <c r="A9" s="18" t="s">
        <v>496</v>
      </c>
      <c r="B9" s="18" t="s">
        <v>497</v>
      </c>
      <c r="C9" s="26"/>
      <c r="D9" s="26"/>
      <c r="E9" s="26"/>
      <c r="F9" s="26"/>
      <c r="G9" s="26"/>
      <c r="H9" s="27">
        <v>1</v>
      </c>
      <c r="I9" s="28" t="s">
        <v>498</v>
      </c>
    </row>
    <row r="10" ht="28" customHeight="1" spans="1:9" x14ac:dyDescent="0.25">
      <c r="A10" s="18" t="s">
        <v>499</v>
      </c>
      <c r="B10" s="18" t="s">
        <v>500</v>
      </c>
      <c r="C10" s="26"/>
      <c r="D10" s="26"/>
      <c r="E10" s="26"/>
      <c r="F10" s="26"/>
      <c r="G10" s="26"/>
      <c r="H10" s="27">
        <v>1</v>
      </c>
      <c r="I10" s="28" t="s">
        <v>501</v>
      </c>
    </row>
    <row r="11" ht="28" customHeight="1" spans="1:9" x14ac:dyDescent="0.25">
      <c r="A11" s="18" t="s">
        <v>502</v>
      </c>
      <c r="B11" s="18" t="s">
        <v>503</v>
      </c>
      <c r="C11" s="26"/>
      <c r="D11" s="26"/>
      <c r="E11" s="26"/>
      <c r="F11" s="26"/>
      <c r="G11" s="26"/>
      <c r="H11" s="27">
        <v>0</v>
      </c>
      <c r="I11" s="28" t="s">
        <v>504</v>
      </c>
    </row>
    <row r="12" ht="28" customHeight="1" spans="1:9" x14ac:dyDescent="0.25">
      <c r="A12" s="18" t="s">
        <v>505</v>
      </c>
      <c r="B12" s="18" t="s">
        <v>506</v>
      </c>
      <c r="C12" s="26"/>
      <c r="D12" s="26"/>
      <c r="E12" s="26"/>
      <c r="F12" s="26"/>
      <c r="G12" s="26"/>
      <c r="H12" s="27">
        <v>1</v>
      </c>
      <c r="I12" s="28" t="s">
        <v>507</v>
      </c>
    </row>
    <row r="13" ht="28" customHeight="1" spans="1:9" x14ac:dyDescent="0.25">
      <c r="A13" s="18" t="s">
        <v>508</v>
      </c>
      <c r="B13" s="18" t="s">
        <v>509</v>
      </c>
      <c r="C13" s="26"/>
      <c r="D13" s="26"/>
      <c r="E13" s="26"/>
      <c r="F13" s="26"/>
      <c r="G13" s="26"/>
      <c r="H13" s="27">
        <v>0</v>
      </c>
      <c r="I13" s="28" t="s">
        <v>510</v>
      </c>
    </row>
    <row r="14" ht="28" customHeight="1" spans="1:9" x14ac:dyDescent="0.25">
      <c r="A14" s="18" t="s">
        <v>511</v>
      </c>
      <c r="B14" s="18" t="s">
        <v>512</v>
      </c>
      <c r="C14" s="26"/>
      <c r="D14" s="26"/>
      <c r="E14" s="26"/>
      <c r="F14" s="26"/>
      <c r="G14" s="26"/>
      <c r="H14" s="27">
        <v>1</v>
      </c>
      <c r="I14" s="28" t="s">
        <v>513</v>
      </c>
    </row>
    <row r="16" spans="1:7" x14ac:dyDescent="0.25">
      <c r="A16" s="29"/>
      <c r="B16" s="30" t="s">
        <v>514</v>
      </c>
      <c r="C16" s="31" t="str">
        <f>IF(COUNT(C5:C14)&lt;10,"",(SUMSQ(C5:C14)-2*SUMPRODUCT(C5:C14,$H$5:$H$14)+SUMSQ($H$5:$H$14))/COUNT(C5:C14))</f>
        <v/>
      </c>
      <c r="D16" s="31" t="str">
        <f>IF(COUNT(D5:D14)&lt;10,"",(SUMSQ(D5:D14)-2*SUMPRODUCT(D5:D14,$H$5:$H$14)+SUMSQ($H$5:$H$14))/COUNT(D5:D14))</f>
        <v/>
      </c>
      <c r="E16" s="31" t="str">
        <f>IF(COUNT(E5:E14)&lt;10,"",(SUMSQ(E5:E14)-2*SUMPRODUCT(E5:E14,$H$5:$H$14)+SUMSQ($H$5:$H$14))/COUNT(E5:E14))</f>
        <v/>
      </c>
      <c r="F16" s="31" t="str">
        <f>IF(COUNT(F5:F14)&lt;10,"",(SUMSQ(F5:F14)-2*SUMPRODUCT(F5:F14,$H$5:$H$14)+SUMSQ($H$5:$H$14))/COUNT(F5:F14))</f>
        <v/>
      </c>
      <c r="G16" s="31" t="str">
        <f>IF(COUNT(G5:G14)&lt;10,"",(SUMSQ(G5:G14)-2*SUMPRODUCT(G5:G14,$H$5:$H$14)+SUMSQ($H$5:$H$14))/COUNT(G5:G14))</f>
        <v/>
      </c>
    </row>
    <row r="17" spans="1:7" x14ac:dyDescent="0.25">
      <c r="A17" s="29"/>
      <c r="B17" s="30" t="s">
        <v>515</v>
      </c>
      <c r="C17" s="31" t="str">
        <f>IF(C16="","",IF(C16&lt;=0.25,1-C16,0))</f>
        <v/>
      </c>
      <c r="D17" s="31" t="str">
        <f>IF(D16="","",IF(D16&lt;=0.25,1-D16,0))</f>
        <v/>
      </c>
      <c r="E17" s="31" t="str">
        <f>IF(E16="","",IF(E16&lt;=0.25,1-E16,0))</f>
        <v/>
      </c>
      <c r="F17" s="31" t="str">
        <f>IF(F16="","",IF(F16&lt;=0.25,1-F16,0))</f>
        <v/>
      </c>
      <c r="G17" s="31" t="str">
        <f>IF(G16="","",IF(G16&lt;=0.25,1-G16,0))</f>
        <v/>
      </c>
    </row>
    <row r="18" spans="1:7" x14ac:dyDescent="0.25">
      <c r="A18" s="29"/>
      <c r="B18" s="30" t="s">
        <v>516</v>
      </c>
      <c r="C18" s="25" t="str">
        <f>IF(C16="","",IF(C16&lt;=0.25,"Calibrado","No calibrado"))</f>
        <v/>
      </c>
      <c r="D18" s="25" t="str">
        <f>IF(D16="","",IF(D16&lt;=0.25,"Calibrado","No calibrado"))</f>
        <v/>
      </c>
      <c r="E18" s="25" t="str">
        <f>IF(E16="","",IF(E16&lt;=0.25,"Calibrado","No calibrado"))</f>
        <v/>
      </c>
      <c r="F18" s="25" t="str">
        <f>IF(F16="","",IF(F16&lt;=0.25,"Calibrado","No calibrado"))</f>
        <v/>
      </c>
      <c r="G18" s="25" t="str">
        <f>IF(G16="","",IF(G16&lt;=0.25,"Calibrado","No calibrado"))</f>
        <v/>
      </c>
    </row>
    <row r="20" spans="1:2" x14ac:dyDescent="0.25">
      <c r="A20" s="29"/>
      <c r="B20" s="2" t="s">
        <v>517</v>
      </c>
    </row>
  </sheetData>
  <dataValidations count="2">
    <dataValidation type="decimal" allowBlank="1" showErrorMessage="1" error="Ingrese una probabilidad entre 0 y 1." sqref="C10:G14">
      <formula1>0</formula1>
      <formula2>1</formula2>
    </dataValidation>
    <dataValidation type="decimal" allowBlank="1" showErrorMessage="1" error="Ingrese una probabilidad entre 0 y 1." sqref="C5:G14">
      <formula1>0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24" customWidth="1"/>
    <col min="2" max="6" width="13" customWidth="1"/>
  </cols>
  <sheetData>
    <row r="1" spans="1:1" x14ac:dyDescent="0.25">
      <c r="A1" s="1" t="s">
        <v>518</v>
      </c>
    </row>
    <row r="2" spans="1:1" x14ac:dyDescent="0.25">
      <c r="A2" s="2" t="s">
        <v>519</v>
      </c>
    </row>
    <row r="4" spans="1:1" x14ac:dyDescent="0.25">
      <c r="A4" s="16" t="s">
        <v>24</v>
      </c>
    </row>
    <row r="5" spans="1:6" x14ac:dyDescent="0.25">
      <c r="A5" s="7" t="s">
        <v>274</v>
      </c>
      <c r="B5" s="7" t="s">
        <v>275</v>
      </c>
      <c r="C5" s="7" t="s">
        <v>125</v>
      </c>
      <c r="D5" s="7" t="s">
        <v>83</v>
      </c>
      <c r="E5" s="7" t="s">
        <v>76</v>
      </c>
      <c r="F5" s="7" t="s">
        <v>203</v>
      </c>
    </row>
    <row r="6" spans="1:6" x14ac:dyDescent="0.25">
      <c r="A6" s="10" t="s">
        <v>137</v>
      </c>
      <c r="B6" s="11">
        <f>COUNTIFS(Matriz!$P$5:$P$104,$A6,Matriz!$V$5:$V$104,B$5)</f>
        <v>0</v>
      </c>
      <c r="C6" s="12">
        <f>COUNTIFS(Matriz!$P$5:$P$104,$A6,Matriz!$V$5:$V$104,C$5)</f>
        <v>0</v>
      </c>
      <c r="D6" s="12">
        <f>COUNTIFS(Matriz!$P$5:$P$104,$A6,Matriz!$V$5:$V$104,D$5)</f>
        <v>2</v>
      </c>
      <c r="E6" s="13">
        <f>COUNTIFS(Matriz!$P$5:$P$104,$A6,Matriz!$V$5:$V$104,E$5)</f>
        <v>0</v>
      </c>
      <c r="F6" s="13">
        <f>COUNTIFS(Matriz!$P$5:$P$104,$A6,Matriz!$V$5:$V$104,F$5)</f>
        <v>0</v>
      </c>
    </row>
    <row r="7" spans="1:6" x14ac:dyDescent="0.25">
      <c r="A7" s="10" t="s">
        <v>99</v>
      </c>
      <c r="B7" s="14">
        <f>COUNTIFS(Matriz!$P$5:$P$104,$A7,Matriz!$V$5:$V$104,B$5)</f>
        <v>0</v>
      </c>
      <c r="C7" s="11">
        <f>COUNTIFS(Matriz!$P$5:$P$104,$A7,Matriz!$V$5:$V$104,C$5)</f>
        <v>0</v>
      </c>
      <c r="D7" s="12">
        <f>COUNTIFS(Matriz!$P$5:$P$104,$A7,Matriz!$V$5:$V$104,D$5)</f>
        <v>1</v>
      </c>
      <c r="E7" s="13">
        <f>COUNTIFS(Matriz!$P$5:$P$104,$A7,Matriz!$V$5:$V$104,E$5)</f>
        <v>1</v>
      </c>
      <c r="F7" s="13">
        <f>COUNTIFS(Matriz!$P$5:$P$104,$A7,Matriz!$V$5:$V$104,F$5)</f>
        <v>0</v>
      </c>
    </row>
    <row r="8" spans="1:6" x14ac:dyDescent="0.25">
      <c r="A8" s="10" t="s">
        <v>74</v>
      </c>
      <c r="B8" s="14">
        <f>COUNTIFS(Matriz!$P$5:$P$104,$A8,Matriz!$V$5:$V$104,B$5)</f>
        <v>0</v>
      </c>
      <c r="C8" s="11">
        <f>COUNTIFS(Matriz!$P$5:$P$104,$A8,Matriz!$V$5:$V$104,C$5)</f>
        <v>1</v>
      </c>
      <c r="D8" s="11">
        <f>COUNTIFS(Matriz!$P$5:$P$104,$A8,Matriz!$V$5:$V$104,D$5)</f>
        <v>1</v>
      </c>
      <c r="E8" s="12">
        <f>COUNTIFS(Matriz!$P$5:$P$104,$A8,Matriz!$V$5:$V$104,E$5)</f>
        <v>2</v>
      </c>
      <c r="F8" s="13">
        <f>COUNTIFS(Matriz!$P$5:$P$104,$A8,Matriz!$V$5:$V$104,F$5)</f>
        <v>3</v>
      </c>
    </row>
    <row r="9" spans="1:6" x14ac:dyDescent="0.25">
      <c r="A9" s="10" t="s">
        <v>82</v>
      </c>
      <c r="B9" s="15">
        <f>COUNTIFS(Matriz!$P$5:$P$104,$A9,Matriz!$V$5:$V$104,B$5)</f>
        <v>0</v>
      </c>
      <c r="C9" s="14">
        <f>COUNTIFS(Matriz!$P$5:$P$104,$A9,Matriz!$V$5:$V$104,C$5)</f>
        <v>0</v>
      </c>
      <c r="D9" s="11">
        <f>COUNTIFS(Matriz!$P$5:$P$104,$A9,Matriz!$V$5:$V$104,D$5)</f>
        <v>0</v>
      </c>
      <c r="E9" s="12">
        <f>COUNTIFS(Matriz!$P$5:$P$104,$A9,Matriz!$V$5:$V$104,E$5)</f>
        <v>2</v>
      </c>
      <c r="F9" s="12">
        <f>COUNTIFS(Matriz!$P$5:$P$104,$A9,Matriz!$V$5:$V$104,F$5)</f>
        <v>0</v>
      </c>
    </row>
    <row r="10" spans="1:6" x14ac:dyDescent="0.25">
      <c r="A10" s="10" t="s">
        <v>124</v>
      </c>
      <c r="B10" s="15">
        <f>COUNTIFS(Matriz!$P$5:$P$104,$A10,Matriz!$V$5:$V$104,B$5)</f>
        <v>0</v>
      </c>
      <c r="C10" s="15">
        <f>COUNTIFS(Matriz!$P$5:$P$104,$A10,Matriz!$V$5:$V$104,C$5)</f>
        <v>0</v>
      </c>
      <c r="D10" s="14">
        <f>COUNTIFS(Matriz!$P$5:$P$104,$A10,Matriz!$V$5:$V$104,D$5)</f>
        <v>0</v>
      </c>
      <c r="E10" s="11">
        <f>COUNTIFS(Matriz!$P$5:$P$104,$A10,Matriz!$V$5:$V$104,E$5)</f>
        <v>0</v>
      </c>
      <c r="F10" s="12">
        <f>COUNTIFS(Matriz!$P$5:$P$104,$A10,Matriz!$V$5:$V$104,F$5)</f>
        <v>0</v>
      </c>
    </row>
    <row r="12" spans="1:1" x14ac:dyDescent="0.25">
      <c r="A12" s="16" t="s">
        <v>26</v>
      </c>
    </row>
    <row r="13" spans="1:6" x14ac:dyDescent="0.25">
      <c r="A13" s="7" t="s">
        <v>274</v>
      </c>
      <c r="B13" s="7" t="s">
        <v>275</v>
      </c>
      <c r="C13" s="7" t="s">
        <v>125</v>
      </c>
      <c r="D13" s="7" t="s">
        <v>83</v>
      </c>
      <c r="E13" s="7" t="s">
        <v>76</v>
      </c>
      <c r="F13" s="7" t="s">
        <v>203</v>
      </c>
    </row>
    <row r="14" spans="1:6" x14ac:dyDescent="0.25">
      <c r="A14" s="10" t="s">
        <v>137</v>
      </c>
      <c r="B14" s="11">
        <f>COUNTIFS(Matriz!$AB$5:$AB$104,$A14,Matriz!$AC$5:$AC$104,B$13)</f>
        <v>0</v>
      </c>
      <c r="C14" s="12">
        <f>COUNTIFS(Matriz!$AB$5:$AB$104,$A14,Matriz!$AC$5:$AC$104,C$13)</f>
        <v>0</v>
      </c>
      <c r="D14" s="12">
        <f>COUNTIFS(Matriz!$AB$5:$AB$104,$A14,Matriz!$AC$5:$AC$104,D$13)</f>
        <v>0</v>
      </c>
      <c r="E14" s="13">
        <f>COUNTIFS(Matriz!$AB$5:$AB$104,$A14,Matriz!$AC$5:$AC$104,E$13)</f>
        <v>0</v>
      </c>
      <c r="F14" s="13">
        <f>COUNTIFS(Matriz!$AB$5:$AB$104,$A14,Matriz!$AC$5:$AC$104,F$13)</f>
        <v>0</v>
      </c>
    </row>
    <row r="15" spans="1:6" x14ac:dyDescent="0.25">
      <c r="A15" s="10" t="s">
        <v>99</v>
      </c>
      <c r="B15" s="14">
        <f>COUNTIFS(Matriz!$AB$5:$AB$104,$A15,Matriz!$AC$5:$AC$104,B$13)</f>
        <v>0</v>
      </c>
      <c r="C15" s="11">
        <f>COUNTIFS(Matriz!$AB$5:$AB$104,$A15,Matriz!$AC$5:$AC$104,C$13)</f>
        <v>0</v>
      </c>
      <c r="D15" s="12">
        <f>COUNTIFS(Matriz!$AB$5:$AB$104,$A15,Matriz!$AC$5:$AC$104,D$13)</f>
        <v>0</v>
      </c>
      <c r="E15" s="13">
        <f>COUNTIFS(Matriz!$AB$5:$AB$104,$A15,Matriz!$AC$5:$AC$104,E$13)</f>
        <v>0</v>
      </c>
      <c r="F15" s="13">
        <f>COUNTIFS(Matriz!$AB$5:$AB$104,$A15,Matriz!$AC$5:$AC$104,F$13)</f>
        <v>0</v>
      </c>
    </row>
    <row r="16" spans="1:6" x14ac:dyDescent="0.25">
      <c r="A16" s="10" t="s">
        <v>74</v>
      </c>
      <c r="B16" s="14">
        <f>COUNTIFS(Matriz!$AB$5:$AB$104,$A16,Matriz!$AC$5:$AC$104,B$13)</f>
        <v>0</v>
      </c>
      <c r="C16" s="11">
        <f>COUNTIFS(Matriz!$AB$5:$AB$104,$A16,Matriz!$AC$5:$AC$104,C$13)</f>
        <v>0</v>
      </c>
      <c r="D16" s="11">
        <f>COUNTIFS(Matriz!$AB$5:$AB$104,$A16,Matriz!$AC$5:$AC$104,D$13)</f>
        <v>0</v>
      </c>
      <c r="E16" s="12">
        <f>COUNTIFS(Matriz!$AB$5:$AB$104,$A16,Matriz!$AC$5:$AC$104,E$13)</f>
        <v>0</v>
      </c>
      <c r="F16" s="13">
        <f>COUNTIFS(Matriz!$AB$5:$AB$104,$A16,Matriz!$AC$5:$AC$104,F$13)</f>
        <v>0</v>
      </c>
    </row>
    <row r="17" spans="1:6" x14ac:dyDescent="0.25">
      <c r="A17" s="10" t="s">
        <v>82</v>
      </c>
      <c r="B17" s="15">
        <f>COUNTIFS(Matriz!$AB$5:$AB$104,$A17,Matriz!$AC$5:$AC$104,B$13)</f>
        <v>0</v>
      </c>
      <c r="C17" s="14">
        <f>COUNTIFS(Matriz!$AB$5:$AB$104,$A17,Matriz!$AC$5:$AC$104,C$13)</f>
        <v>3</v>
      </c>
      <c r="D17" s="11">
        <f>COUNTIFS(Matriz!$AB$5:$AB$104,$A17,Matriz!$AC$5:$AC$104,D$13)</f>
        <v>5</v>
      </c>
      <c r="E17" s="12">
        <f>COUNTIFS(Matriz!$AB$5:$AB$104,$A17,Matriz!$AC$5:$AC$104,E$13)</f>
        <v>0</v>
      </c>
      <c r="F17" s="12">
        <f>COUNTIFS(Matriz!$AB$5:$AB$104,$A17,Matriz!$AC$5:$AC$104,F$13)</f>
        <v>1</v>
      </c>
    </row>
    <row r="18" spans="1:6" x14ac:dyDescent="0.25">
      <c r="A18" s="10" t="s">
        <v>124</v>
      </c>
      <c r="B18" s="15">
        <f>COUNTIFS(Matriz!$AB$5:$AB$104,$A18,Matriz!$AC$5:$AC$104,B$13)</f>
        <v>0</v>
      </c>
      <c r="C18" s="15">
        <f>COUNTIFS(Matriz!$AB$5:$AB$104,$A18,Matriz!$AC$5:$AC$104,C$13)</f>
        <v>2</v>
      </c>
      <c r="D18" s="14">
        <f>COUNTIFS(Matriz!$AB$5:$AB$104,$A18,Matriz!$AC$5:$AC$104,D$13)</f>
        <v>0</v>
      </c>
      <c r="E18" s="11">
        <f>COUNTIFS(Matriz!$AB$5:$AB$104,$A18,Matriz!$AC$5:$AC$104,E$13)</f>
        <v>2</v>
      </c>
      <c r="F18" s="12">
        <f>COUNTIFS(Matriz!$AB$5:$AB$104,$A18,Matriz!$AC$5:$AC$104,F$13)</f>
        <v>0</v>
      </c>
    </row>
    <row r="20" spans="1:1" x14ac:dyDescent="0.25">
      <c r="A20" s="16" t="s">
        <v>520</v>
      </c>
    </row>
    <row r="21" spans="1:3" x14ac:dyDescent="0.25">
      <c r="A21" s="7" t="s">
        <v>277</v>
      </c>
      <c r="B21" s="7" t="s">
        <v>521</v>
      </c>
      <c r="C21" s="7" t="s">
        <v>522</v>
      </c>
    </row>
    <row r="22" spans="1:3" x14ac:dyDescent="0.25">
      <c r="A22" s="32" t="s">
        <v>275</v>
      </c>
      <c r="B22" s="27">
        <f>COUNTIF(Matriz!$W$5:$W$104,$A22)</f>
        <v>0</v>
      </c>
      <c r="C22" s="27">
        <f>COUNTIF(Matriz!$AD$5:$AD$104,$A22)</f>
        <v>2</v>
      </c>
    </row>
    <row r="23" spans="1:3" x14ac:dyDescent="0.25">
      <c r="A23" s="33" t="s">
        <v>125</v>
      </c>
      <c r="B23" s="27">
        <f>COUNTIF(Matriz!$W$5:$W$104,$A23)</f>
        <v>0</v>
      </c>
      <c r="C23" s="27">
        <f>COUNTIF(Matriz!$AD$5:$AD$104,$A23)</f>
        <v>3</v>
      </c>
    </row>
    <row r="24" spans="1:3" x14ac:dyDescent="0.25">
      <c r="A24" s="34" t="s">
        <v>83</v>
      </c>
      <c r="B24" s="27">
        <f>COUNTIF(Matriz!$W$5:$W$104,$A24)</f>
        <v>2</v>
      </c>
      <c r="C24" s="27">
        <f>COUNTIF(Matriz!$AD$5:$AD$104,$A24)</f>
        <v>7</v>
      </c>
    </row>
    <row r="25" spans="1:3" x14ac:dyDescent="0.25">
      <c r="A25" s="35" t="s">
        <v>76</v>
      </c>
      <c r="B25" s="27">
        <f>COUNTIF(Matriz!$W$5:$W$104,$A25)</f>
        <v>7</v>
      </c>
      <c r="C25" s="27">
        <f>COUNTIF(Matriz!$AD$5:$AD$104,$A25)</f>
        <v>1</v>
      </c>
    </row>
    <row r="26" spans="1:3" x14ac:dyDescent="0.25">
      <c r="A26" s="36" t="s">
        <v>203</v>
      </c>
      <c r="B26" s="27">
        <f>COUNTIF(Matriz!$W$5:$W$104,$A26)</f>
        <v>4</v>
      </c>
      <c r="C26" s="27">
        <f>COUNTIF(Matriz!$AD$5:$AD$104,$A26)</f>
        <v>0</v>
      </c>
    </row>
    <row r="27" spans="1:3" x14ac:dyDescent="0.25">
      <c r="A27" s="30" t="s">
        <v>523</v>
      </c>
      <c r="B27" s="29">
        <f>SUM(B22:B26)</f>
        <v>13</v>
      </c>
      <c r="C27" s="29">
        <f>SUM(C22:C26)</f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0" width="26" customWidth="1"/>
  </cols>
  <sheetData>
    <row r="1" spans="1:10" x14ac:dyDescent="0.25">
      <c r="A1" s="7" t="s">
        <v>524</v>
      </c>
      <c r="B1" s="7" t="s">
        <v>525</v>
      </c>
      <c r="C1" s="7" t="s">
        <v>526</v>
      </c>
      <c r="D1" s="7" t="s">
        <v>527</v>
      </c>
      <c r="E1" s="7" t="s">
        <v>40</v>
      </c>
      <c r="F1" s="7" t="s">
        <v>25</v>
      </c>
      <c r="G1" s="7" t="s">
        <v>60</v>
      </c>
      <c r="H1" s="7" t="s">
        <v>528</v>
      </c>
      <c r="I1" s="7" t="s">
        <v>529</v>
      </c>
      <c r="J1" s="7" t="s">
        <v>530</v>
      </c>
    </row>
    <row r="2" spans="1:10" x14ac:dyDescent="0.25">
      <c r="A2" s="37" t="s">
        <v>124</v>
      </c>
      <c r="B2" s="37" t="s">
        <v>275</v>
      </c>
      <c r="C2" s="37" t="s">
        <v>65</v>
      </c>
      <c r="D2" s="37" t="s">
        <v>16</v>
      </c>
      <c r="E2" s="37" t="s">
        <v>134</v>
      </c>
      <c r="F2" s="37" t="s">
        <v>78</v>
      </c>
      <c r="G2" s="37" t="s">
        <v>161</v>
      </c>
      <c r="H2" s="37">
        <v>0</v>
      </c>
      <c r="I2" s="37" t="s">
        <v>87</v>
      </c>
      <c r="J2" s="37" t="s">
        <v>275</v>
      </c>
    </row>
    <row r="3" spans="1:10" x14ac:dyDescent="0.25">
      <c r="A3" s="37" t="s">
        <v>82</v>
      </c>
      <c r="B3" s="37" t="s">
        <v>125</v>
      </c>
      <c r="C3" s="37" t="s">
        <v>90</v>
      </c>
      <c r="D3" s="37" t="s">
        <v>165</v>
      </c>
      <c r="E3" s="37" t="s">
        <v>71</v>
      </c>
      <c r="F3" s="37" t="s">
        <v>188</v>
      </c>
      <c r="G3" s="37" t="s">
        <v>85</v>
      </c>
      <c r="H3" s="37">
        <v>1</v>
      </c>
      <c r="I3" s="37" t="s">
        <v>107</v>
      </c>
      <c r="J3" s="37" t="s">
        <v>125</v>
      </c>
    </row>
    <row r="4" spans="1:10" x14ac:dyDescent="0.25">
      <c r="A4" s="37" t="s">
        <v>74</v>
      </c>
      <c r="B4" s="37" t="s">
        <v>83</v>
      </c>
      <c r="C4" s="29"/>
      <c r="D4" s="37" t="s">
        <v>197</v>
      </c>
      <c r="E4" s="37" t="s">
        <v>96</v>
      </c>
      <c r="F4" s="37" t="s">
        <v>120</v>
      </c>
      <c r="G4" s="37" t="s">
        <v>531</v>
      </c>
      <c r="H4" s="37">
        <v>2</v>
      </c>
      <c r="I4" s="37" t="s">
        <v>62</v>
      </c>
      <c r="J4" s="37" t="s">
        <v>83</v>
      </c>
    </row>
    <row r="5" spans="1:10" x14ac:dyDescent="0.25">
      <c r="A5" s="37" t="s">
        <v>99</v>
      </c>
      <c r="B5" s="37" t="s">
        <v>76</v>
      </c>
      <c r="C5" s="29"/>
      <c r="D5" s="37" t="s">
        <v>112</v>
      </c>
      <c r="E5" s="37" t="s">
        <v>532</v>
      </c>
      <c r="F5" s="37" t="s">
        <v>533</v>
      </c>
      <c r="G5" s="37" t="s">
        <v>534</v>
      </c>
      <c r="H5" s="37">
        <v>3</v>
      </c>
      <c r="I5" s="37" t="s">
        <v>176</v>
      </c>
      <c r="J5" s="37" t="s">
        <v>76</v>
      </c>
    </row>
    <row r="6" spans="1:10" x14ac:dyDescent="0.25">
      <c r="A6" s="37" t="s">
        <v>137</v>
      </c>
      <c r="B6" s="37" t="s">
        <v>203</v>
      </c>
      <c r="C6" s="29"/>
      <c r="D6" s="29"/>
      <c r="E6" s="29"/>
      <c r="F6" s="29"/>
      <c r="G6" s="37" t="s">
        <v>535</v>
      </c>
      <c r="H6" s="29"/>
      <c r="I6" s="37" t="s">
        <v>145</v>
      </c>
      <c r="J6" s="37" t="s">
        <v>203</v>
      </c>
    </row>
    <row r="7" spans="1:9" x14ac:dyDescent="0.25">
      <c r="A7" s="29"/>
      <c r="B7" s="29"/>
      <c r="C7" s="29"/>
      <c r="D7" s="29"/>
      <c r="E7" s="29"/>
      <c r="F7" s="29"/>
      <c r="G7" s="29"/>
      <c r="H7" s="29"/>
      <c r="I7" s="37" t="s">
        <v>220</v>
      </c>
    </row>
    <row r="10" spans="1:1" x14ac:dyDescent="0.25">
      <c r="A10" s="2" t="s">
        <v>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Instrucciones</vt:lpstr>
      <vt:lpstr>Matriz</vt:lpstr>
      <vt:lpstr>Decisión</vt:lpstr>
      <vt:lpstr>Escalas</vt:lpstr>
      <vt:lpstr>Amenazas</vt:lpstr>
      <vt:lpstr>Controles</vt:lpstr>
      <vt:lpstr>Delphi</vt:lpstr>
      <vt:lpstr>Brier</vt:lpstr>
      <vt:lpstr>Mapa de calor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Ramón Alejandro Manzaba Castro</dc:creator>
  <dc:title>Matriz de riesgos LOPDP — plantilla</dc:title>
  <dc:subject/>
  <dc:description/>
  <cp:keywords/>
  <cp:category/>
  <cp:lastModifiedBy>Unknown</cp:lastModifiedBy>
  <dcterms:created xsi:type="dcterms:W3CDTF">2026-10-20T19:16:36Z</dcterms:created>
  <dcterms:modified xsi:type="dcterms:W3CDTF">2026-10-20T19:16:36Z</dcterms:modified>
</cp:coreProperties>
</file>